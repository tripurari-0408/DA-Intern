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set" sheetId="1" r:id="rId4"/>
    <sheet state="visible" name="Pivot Table 1" sheetId="2" r:id="rId5"/>
  </sheets>
  <definedNames>
    <definedName hidden="1" localSheetId="0" name="Z_9702C7D7_C232_4E70_8027_58C55CD70145_.wvu.FilterData">Sales_Dataset!$A$1:$Z$1001</definedName>
  </definedNames>
  <calcPr/>
  <customWorkbookViews>
    <customWorkbookView activeSheetId="0" maximized="1" windowHeight="0" windowWidth="0" guid="{9702C7D7-C232-4E70-8027-58C55CD70145}" name="Group by Total_Sales_Larger_to_smaller"/>
  </customWorkbookViews>
  <pivotCaches>
    <pivotCache cacheId="0" r:id="rId6"/>
  </pivotCaches>
  <extLst>
    <ext uri="GoogleSheetsCustomDataVersion2">
      <go:sheetsCustomData xmlns:go="http://customooxmlschemas.google.com/" r:id="rId7" roundtripDataChecksum="LI9GFlnwg/U9jKwxSqX/1bNdgTuWyNhefeISBfD5VV4="/>
    </ext>
  </extLst>
</workbook>
</file>

<file path=xl/sharedStrings.xml><?xml version="1.0" encoding="utf-8"?>
<sst xmlns="http://schemas.openxmlformats.org/spreadsheetml/2006/main" count="7026" uniqueCount="2416">
  <si>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</si>
  <si>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</si>
  <si>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</si>
  <si>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</si>
  <si>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</si>
  <si>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</si>
  <si>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</si>
  <si>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</si>
  <si>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</si>
  <si>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</si>
  <si>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</si>
  <si>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</si>
  <si>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Column 1</t>
  </si>
  <si>
    <t>Column 6</t>
  </si>
  <si>
    <t>Column 2</t>
  </si>
  <si>
    <t>Column 3</t>
  </si>
  <si>
    <t>Column 4</t>
  </si>
  <si>
    <t>Column 17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</si>
  <si>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</si>
  <si>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</si>
  <si>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</si>
  <si>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</si>
  <si>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</si>
  <si>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</si>
  <si>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</si>
  <si>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</si>
  <si>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ORD100002</t>
  </si>
  <si>
    <t>CUST5529</t>
  </si>
  <si>
    <t>Customer_227</t>
  </si>
  <si>
    <t>Female</t>
  </si>
  <si>
    <t>Bengaluru</t>
  </si>
  <si>
    <t>Rice</t>
  </si>
  <si>
    <t>Grocery</t>
  </si>
  <si>
    <t>ORD100003</t>
  </si>
  <si>
    <t>SUM of Total_Sales</t>
  </si>
  <si>
    <t>CUST3127</t>
  </si>
  <si>
    <t>Customer_182</t>
  </si>
  <si>
    <t>Male</t>
  </si>
  <si>
    <t>Bulk Order</t>
  </si>
  <si>
    <t>Standard Order</t>
  </si>
  <si>
    <t>Grand Total</t>
  </si>
  <si>
    <t>Education</t>
  </si>
  <si>
    <t>Book</t>
  </si>
  <si>
    <t>Electronics</t>
  </si>
  <si>
    <t>Fashion</t>
  </si>
  <si>
    <t>Furniture</t>
  </si>
  <si>
    <t>ORD100004</t>
  </si>
  <si>
    <t>CUST8887</t>
  </si>
  <si>
    <t>Customer_487</t>
  </si>
  <si>
    <t xml:space="preserve">Sales in Delhi = </t>
  </si>
  <si>
    <t>ORD100006</t>
  </si>
  <si>
    <t>CUST4796</t>
  </si>
  <si>
    <t>Customer_380</t>
  </si>
  <si>
    <t>ORD100030</t>
  </si>
  <si>
    <t>CUST3688</t>
  </si>
  <si>
    <t>Customer_205</t>
  </si>
  <si>
    <t>Mobile</t>
  </si>
  <si>
    <t>ORD100037</t>
  </si>
  <si>
    <t>CUST2669</t>
  </si>
  <si>
    <t>Customer_151</t>
  </si>
  <si>
    <t>Laptop</t>
  </si>
  <si>
    <t>ORD100040</t>
  </si>
  <si>
    <t>CUST7465</t>
  </si>
  <si>
    <t>Customer_345</t>
  </si>
  <si>
    <t>Shoes</t>
  </si>
  <si>
    <t>ORD100045</t>
  </si>
  <si>
    <t>CUST5151</t>
  </si>
  <si>
    <t>Customer_409</t>
  </si>
  <si>
    <t>ORD100057</t>
  </si>
  <si>
    <t>CUST2791</t>
  </si>
  <si>
    <t>Customer_20</t>
  </si>
  <si>
    <t>ORD100058</t>
  </si>
  <si>
    <t>CUST4496</t>
  </si>
  <si>
    <t>Customer_53</t>
  </si>
  <si>
    <t>Chair</t>
  </si>
  <si>
    <t>ORD100059</t>
  </si>
  <si>
    <t>CUST8811</t>
  </si>
  <si>
    <t>Customer_115</t>
  </si>
  <si>
    <t>ORD100077</t>
  </si>
  <si>
    <t>CUST1956</t>
  </si>
  <si>
    <t>Customer_317</t>
  </si>
  <si>
    <t>ORD100095</t>
  </si>
  <si>
    <t>CUST5091</t>
  </si>
  <si>
    <t>Customer_375</t>
  </si>
  <si>
    <t>ORD100115</t>
  </si>
  <si>
    <t>CUST2345</t>
  </si>
  <si>
    <t>Customer_302</t>
  </si>
  <si>
    <t>ORD100133</t>
  </si>
  <si>
    <t>CUST8366</t>
  </si>
  <si>
    <t>Customer_355</t>
  </si>
  <si>
    <t>ORD100139</t>
  </si>
  <si>
    <t>CUST7062</t>
  </si>
  <si>
    <t>Customer_92</t>
  </si>
  <si>
    <t>ORD100147</t>
  </si>
  <si>
    <t>CUST9450</t>
  </si>
  <si>
    <t>Customer_230</t>
  </si>
  <si>
    <t>ORD100149</t>
  </si>
  <si>
    <t>CUST7178</t>
  </si>
  <si>
    <t>Customer_478</t>
  </si>
  <si>
    <t>ORD100157</t>
  </si>
  <si>
    <t>CUST5375</t>
  </si>
  <si>
    <t>Customer_265</t>
  </si>
  <si>
    <t>ORD100161</t>
  </si>
  <si>
    <t>CUST2562</t>
  </si>
  <si>
    <t>Customer_280</t>
  </si>
  <si>
    <t>ORD100164</t>
  </si>
  <si>
    <t>CUST3839</t>
  </si>
  <si>
    <t>Customer_274</t>
  </si>
  <si>
    <t>ORD100169</t>
  </si>
  <si>
    <t>CUST1479</t>
  </si>
  <si>
    <t>ORD100170</t>
  </si>
  <si>
    <t>CUST9875</t>
  </si>
  <si>
    <t>Customer_6</t>
  </si>
  <si>
    <t>ORD100171</t>
  </si>
  <si>
    <t>CUST3522</t>
  </si>
  <si>
    <t>Customer_67</t>
  </si>
  <si>
    <t>ORD100189</t>
  </si>
  <si>
    <t>CUST5600</t>
  </si>
  <si>
    <t>Customer_176</t>
  </si>
  <si>
    <t>ORD100211</t>
  </si>
  <si>
    <t>CUST4756</t>
  </si>
  <si>
    <t>Customer_15</t>
  </si>
  <si>
    <t>ORD100222</t>
  </si>
  <si>
    <t>CUST1711</t>
  </si>
  <si>
    <t>Customer_36</t>
  </si>
  <si>
    <t>ORD100223</t>
  </si>
  <si>
    <t>CUST9840</t>
  </si>
  <si>
    <t>Customer_347</t>
  </si>
  <si>
    <t>ORD100234</t>
  </si>
  <si>
    <t>CUST3760</t>
  </si>
  <si>
    <t>Customer_360</t>
  </si>
  <si>
    <t>ORD100235</t>
  </si>
  <si>
    <t>CUST5079</t>
  </si>
  <si>
    <t>Customer_348</t>
  </si>
  <si>
    <t>ORD100237</t>
  </si>
  <si>
    <t>CUST8311</t>
  </si>
  <si>
    <t>Customer_225</t>
  </si>
  <si>
    <t>ORD100050</t>
  </si>
  <si>
    <t>CUST8467</t>
  </si>
  <si>
    <t>Customer_104</t>
  </si>
  <si>
    <t>ORD100243</t>
  </si>
  <si>
    <t>CUST1367</t>
  </si>
  <si>
    <t>Customer_48</t>
  </si>
  <si>
    <t>ORD100245</t>
  </si>
  <si>
    <t>CUST2862</t>
  </si>
  <si>
    <t>Customer_122</t>
  </si>
  <si>
    <t>ORD100247</t>
  </si>
  <si>
    <t>CUST5129</t>
  </si>
  <si>
    <t>Customer_404</t>
  </si>
  <si>
    <t>ORD100257</t>
  </si>
  <si>
    <t>CUST6728</t>
  </si>
  <si>
    <t>Customer_413</t>
  </si>
  <si>
    <t>ORD100264</t>
  </si>
  <si>
    <t>CUST7176</t>
  </si>
  <si>
    <t>Customer_434</t>
  </si>
  <si>
    <t>ORD100267</t>
  </si>
  <si>
    <t>CUST7082</t>
  </si>
  <si>
    <t>Customer_492</t>
  </si>
  <si>
    <t>ORD100268</t>
  </si>
  <si>
    <t>CUST2463</t>
  </si>
  <si>
    <t>Customer_390</t>
  </si>
  <si>
    <t>ORD100277</t>
  </si>
  <si>
    <t>CUST2152</t>
  </si>
  <si>
    <t>Customer_99</t>
  </si>
  <si>
    <t>ORD100280</t>
  </si>
  <si>
    <t>CUST1463</t>
  </si>
  <si>
    <t>Customer_397</t>
  </si>
  <si>
    <t>ORD100295</t>
  </si>
  <si>
    <t>CUST3464</t>
  </si>
  <si>
    <t>Customer_1</t>
  </si>
  <si>
    <t>ORD100314</t>
  </si>
  <si>
    <t>CUST3094</t>
  </si>
  <si>
    <t>Customer_47</t>
  </si>
  <si>
    <t>ORD100326</t>
  </si>
  <si>
    <t>CUST2537</t>
  </si>
  <si>
    <t>Customer_32</t>
  </si>
  <si>
    <t>ORD100328</t>
  </si>
  <si>
    <t>CUST3044</t>
  </si>
  <si>
    <t>Customer_27</t>
  </si>
  <si>
    <t>ORD100341</t>
  </si>
  <si>
    <t>CUST1614</t>
  </si>
  <si>
    <t>Customer_267</t>
  </si>
  <si>
    <t>ORD100346</t>
  </si>
  <si>
    <t>CUST2051</t>
  </si>
  <si>
    <t>Customer_103</t>
  </si>
  <si>
    <t>ORD100349</t>
  </si>
  <si>
    <t>CUST9304</t>
  </si>
  <si>
    <t>Customer_216</t>
  </si>
  <si>
    <t>ORD100351</t>
  </si>
  <si>
    <t>CUST6828</t>
  </si>
  <si>
    <t>Customer_222</t>
  </si>
  <si>
    <t>ORD100353</t>
  </si>
  <si>
    <t>CUST3075</t>
  </si>
  <si>
    <t>Customer_249</t>
  </si>
  <si>
    <t>ORD100364</t>
  </si>
  <si>
    <t>CUST5468</t>
  </si>
  <si>
    <t>Customer_463</t>
  </si>
  <si>
    <t>ORD100366</t>
  </si>
  <si>
    <t>CUST9551</t>
  </si>
  <si>
    <t>ORD100368</t>
  </si>
  <si>
    <t>CUST5318</t>
  </si>
  <si>
    <t>Customer_376</t>
  </si>
  <si>
    <t>ORD100369</t>
  </si>
  <si>
    <t>CUST9900</t>
  </si>
  <si>
    <t>Customer_496</t>
  </si>
  <si>
    <t>ORD100374</t>
  </si>
  <si>
    <t>CUST4041</t>
  </si>
  <si>
    <t>Customer_433</t>
  </si>
  <si>
    <t>ORD100377</t>
  </si>
  <si>
    <t>CUST9292</t>
  </si>
  <si>
    <t>Customer_89</t>
  </si>
  <si>
    <t>ORD100392</t>
  </si>
  <si>
    <t>CUST9927</t>
  </si>
  <si>
    <t>Customer_357</t>
  </si>
  <si>
    <t>ORD100395</t>
  </si>
  <si>
    <t>CUST5128</t>
  </si>
  <si>
    <t>Customer_192</t>
  </si>
  <si>
    <t>ORD100398</t>
  </si>
  <si>
    <t>CUST6600</t>
  </si>
  <si>
    <t>Customer_242</t>
  </si>
  <si>
    <t>ORD100399</t>
  </si>
  <si>
    <t>CUST5615</t>
  </si>
  <si>
    <t>Customer_56</t>
  </si>
  <si>
    <t>ORD100409</t>
  </si>
  <si>
    <t>CUST9421</t>
  </si>
  <si>
    <t>ORD100417</t>
  </si>
  <si>
    <t>CUST7628</t>
  </si>
  <si>
    <t>Customer_120</t>
  </si>
  <si>
    <t>ORD100419</t>
  </si>
  <si>
    <t>CUST6436</t>
  </si>
  <si>
    <t>Customer_288</t>
  </si>
  <si>
    <t>ORD100439</t>
  </si>
  <si>
    <t>CUST8269</t>
  </si>
  <si>
    <t>ORD100457</t>
  </si>
  <si>
    <t>CUST9543</t>
  </si>
  <si>
    <t>Customer_448</t>
  </si>
  <si>
    <t>ORD100472</t>
  </si>
  <si>
    <t>CUST8325</t>
  </si>
  <si>
    <t>Customer_16</t>
  </si>
  <si>
    <t>CUST8225</t>
  </si>
  <si>
    <t>Customer_468</t>
  </si>
  <si>
    <t>ORD100481</t>
  </si>
  <si>
    <t>CUST4966</t>
  </si>
  <si>
    <t>Customer_367</t>
  </si>
  <si>
    <t>ORD100514</t>
  </si>
  <si>
    <t>CUST6860</t>
  </si>
  <si>
    <t>Customer_168</t>
  </si>
  <si>
    <t>ORD100524</t>
  </si>
  <si>
    <t>CUST3778</t>
  </si>
  <si>
    <t>Customer_96</t>
  </si>
  <si>
    <t>ORD100536</t>
  </si>
  <si>
    <t>CUST6394</t>
  </si>
  <si>
    <t>Customer_338</t>
  </si>
  <si>
    <t>ORD100551</t>
  </si>
  <si>
    <t>CUST7188</t>
  </si>
  <si>
    <t>Customer_180</t>
  </si>
  <si>
    <t>ORD100553</t>
  </si>
  <si>
    <t>CUST4646</t>
  </si>
  <si>
    <t>Customer_365</t>
  </si>
  <si>
    <t>ORD100563</t>
  </si>
  <si>
    <t>CUST7491</t>
  </si>
  <si>
    <t>Customer_139</t>
  </si>
  <si>
    <t>ORD100566</t>
  </si>
  <si>
    <t>CUST4722</t>
  </si>
  <si>
    <t>ORD100602</t>
  </si>
  <si>
    <t>CUST8813</t>
  </si>
  <si>
    <t>Customer_83</t>
  </si>
  <si>
    <t>ORD100616</t>
  </si>
  <si>
    <t>CUST3751</t>
  </si>
  <si>
    <t>Customer_270</t>
  </si>
  <si>
    <t>ORD100630</t>
  </si>
  <si>
    <t>CUST4934</t>
  </si>
  <si>
    <t>Customer_25</t>
  </si>
  <si>
    <t>ORD100638</t>
  </si>
  <si>
    <t>CUST9693</t>
  </si>
  <si>
    <t>ORD100650</t>
  </si>
  <si>
    <t>CUST2181</t>
  </si>
  <si>
    <t>Customer_125</t>
  </si>
  <si>
    <t>ORD100656</t>
  </si>
  <si>
    <t>CUST3567</t>
  </si>
  <si>
    <t>Customer_407</t>
  </si>
  <si>
    <t>ORD100661</t>
  </si>
  <si>
    <t>CUST9614</t>
  </si>
  <si>
    <t>Customer_235</t>
  </si>
  <si>
    <t>ORD100668</t>
  </si>
  <si>
    <t>CUST6684</t>
  </si>
  <si>
    <t>Customer_426</t>
  </si>
  <si>
    <t>ORD100669</t>
  </si>
  <si>
    <t>CUST3321</t>
  </si>
  <si>
    <t>ORD100670</t>
  </si>
  <si>
    <t>CUST2904</t>
  </si>
  <si>
    <t>Customer_269</t>
  </si>
  <si>
    <t>ORD100679</t>
  </si>
  <si>
    <t>CUST4559</t>
  </si>
  <si>
    <t>Customer_466</t>
  </si>
  <si>
    <t>ORD100684</t>
  </si>
  <si>
    <t>CUST5155</t>
  </si>
  <si>
    <t>Customer_165</t>
  </si>
  <si>
    <t>ORD100709</t>
  </si>
  <si>
    <t>CUST2744</t>
  </si>
  <si>
    <t>Customer_300</t>
  </si>
  <si>
    <t>ORD100713</t>
  </si>
  <si>
    <t>CUST6638</t>
  </si>
  <si>
    <t>Customer_350</t>
  </si>
  <si>
    <t>ORD100717</t>
  </si>
  <si>
    <t>CUST7371</t>
  </si>
  <si>
    <t>ORD100735</t>
  </si>
  <si>
    <t>CUST7026</t>
  </si>
  <si>
    <t>ORD100764</t>
  </si>
  <si>
    <t>CUST4706</t>
  </si>
  <si>
    <t>Customer_200</t>
  </si>
  <si>
    <t>ORD100768</t>
  </si>
  <si>
    <t>CUST9952</t>
  </si>
  <si>
    <t>Customer_453</t>
  </si>
  <si>
    <t>ORD100770</t>
  </si>
  <si>
    <t>CUST9628</t>
  </si>
  <si>
    <t>Customer_422</t>
  </si>
  <si>
    <t>ORD100775</t>
  </si>
  <si>
    <t>CUST5505</t>
  </si>
  <si>
    <t>Customer_189</t>
  </si>
  <si>
    <t>ORD100786</t>
  </si>
  <si>
    <t>CUST7445</t>
  </si>
  <si>
    <t>Customer_233</t>
  </si>
  <si>
    <t>ORD100792</t>
  </si>
  <si>
    <t>CUST6814</t>
  </si>
  <si>
    <t>Customer_70</t>
  </si>
  <si>
    <t>ORD100794</t>
  </si>
  <si>
    <t>CUST7228</t>
  </si>
  <si>
    <t>ORD100797</t>
  </si>
  <si>
    <t>CUST5806</t>
  </si>
  <si>
    <t>Customer_167</t>
  </si>
  <si>
    <t>ORD100805</t>
  </si>
  <si>
    <t>CUST7876</t>
  </si>
  <si>
    <t>Customer_34</t>
  </si>
  <si>
    <t>ORD100809</t>
  </si>
  <si>
    <t>CUST7903</t>
  </si>
  <si>
    <t>Customer_163</t>
  </si>
  <si>
    <t>ORD100820</t>
  </si>
  <si>
    <t>CUST9458</t>
  </si>
  <si>
    <t>Customer_391</t>
  </si>
  <si>
    <t>ORD100823</t>
  </si>
  <si>
    <t>CUST7814</t>
  </si>
  <si>
    <t>Customer_134</t>
  </si>
  <si>
    <t>ORD100826</t>
  </si>
  <si>
    <t>CUST7065</t>
  </si>
  <si>
    <t>Customer_335</t>
  </si>
  <si>
    <t>ORD100849</t>
  </si>
  <si>
    <t>CUST5455</t>
  </si>
  <si>
    <t>Customer_287</t>
  </si>
  <si>
    <t>ORD100856</t>
  </si>
  <si>
    <t>CUST8455</t>
  </si>
  <si>
    <t>ORD100859</t>
  </si>
  <si>
    <t>CUST9287</t>
  </si>
  <si>
    <t>Customer_281</t>
  </si>
  <si>
    <t>ORD100867</t>
  </si>
  <si>
    <t>CUST4947</t>
  </si>
  <si>
    <t>Customer_352</t>
  </si>
  <si>
    <t>ORD100877</t>
  </si>
  <si>
    <t>CUST9104</t>
  </si>
  <si>
    <t>Customer_443</t>
  </si>
  <si>
    <t>ORD100901</t>
  </si>
  <si>
    <t>CUST6152</t>
  </si>
  <si>
    <t>Customer_438</t>
  </si>
  <si>
    <t>ORD100920</t>
  </si>
  <si>
    <t>Customer_105</t>
  </si>
  <si>
    <t>ORD100924</t>
  </si>
  <si>
    <t>CUST7933</t>
  </si>
  <si>
    <t>Customer_232</t>
  </si>
  <si>
    <t>ORD100928</t>
  </si>
  <si>
    <t>CUST7676</t>
  </si>
  <si>
    <t>Customer_42</t>
  </si>
  <si>
    <t>ORD100931</t>
  </si>
  <si>
    <t>CUST6319</t>
  </si>
  <si>
    <t>Customer_393</t>
  </si>
  <si>
    <t>ORD100939</t>
  </si>
  <si>
    <t>CUST5413</t>
  </si>
  <si>
    <t>ORD100948</t>
  </si>
  <si>
    <t>CUST1004</t>
  </si>
  <si>
    <t>Customer_191</t>
  </si>
  <si>
    <t>ORD100964</t>
  </si>
  <si>
    <t>CUST8387</t>
  </si>
  <si>
    <t>Customer_133</t>
  </si>
  <si>
    <t>ORD100967</t>
  </si>
  <si>
    <t>CUST3843</t>
  </si>
  <si>
    <t>Customer_209</t>
  </si>
  <si>
    <t>ORD100970</t>
  </si>
  <si>
    <t>CUST1713</t>
  </si>
  <si>
    <t>Customer_457</t>
  </si>
  <si>
    <t>ORD100982</t>
  </si>
  <si>
    <t>CUST4003</t>
  </si>
  <si>
    <t>Customer_305</t>
  </si>
  <si>
    <t>ORD100991</t>
  </si>
  <si>
    <t>CUST1284</t>
  </si>
  <si>
    <t>ORD100012</t>
  </si>
  <si>
    <t>CUST9642</t>
  </si>
  <si>
    <t>Customer_162</t>
  </si>
  <si>
    <t>Delhi</t>
  </si>
  <si>
    <t>ORD100017</t>
  </si>
  <si>
    <t>CUST9307</t>
  </si>
  <si>
    <t>Customer_313</t>
  </si>
  <si>
    <t>ORD100018</t>
  </si>
  <si>
    <t>CUST4363</t>
  </si>
  <si>
    <t>Customer_161</t>
  </si>
  <si>
    <t>ORD100038</t>
  </si>
  <si>
    <t>CUST5869</t>
  </si>
  <si>
    <t>Customer_415</t>
  </si>
  <si>
    <t>ORD100048</t>
  </si>
  <si>
    <t>CUST4750</t>
  </si>
  <si>
    <t>Customer_78</t>
  </si>
  <si>
    <t>ORD100053</t>
  </si>
  <si>
    <t>CUST9203</t>
  </si>
  <si>
    <t>ORD100054</t>
  </si>
  <si>
    <t>CUST8053</t>
  </si>
  <si>
    <t>Customer_408</t>
  </si>
  <si>
    <t>ORD100056</t>
  </si>
  <si>
    <t>CUST2690</t>
  </si>
  <si>
    <t>Customer_11</t>
  </si>
  <si>
    <t>ORD100068</t>
  </si>
  <si>
    <t>CUST5871</t>
  </si>
  <si>
    <t>ORD100070</t>
  </si>
  <si>
    <t>CUST9017</t>
  </si>
  <si>
    <t>Customer_51</t>
  </si>
  <si>
    <t>ORD100079</t>
  </si>
  <si>
    <t>ORD100085</t>
  </si>
  <si>
    <t>CUST7911</t>
  </si>
  <si>
    <t>Customer_7</t>
  </si>
  <si>
    <t>ORD100089</t>
  </si>
  <si>
    <t>CUST3689</t>
  </si>
  <si>
    <t>Customer_179</t>
  </si>
  <si>
    <t>ORD100094</t>
  </si>
  <si>
    <t>CUST4650</t>
  </si>
  <si>
    <t>Customer_370</t>
  </si>
  <si>
    <t>ORD100113</t>
  </si>
  <si>
    <t>CUST5433</t>
  </si>
  <si>
    <t>ORD100118</t>
  </si>
  <si>
    <t>CUST2871</t>
  </si>
  <si>
    <t>Customer_8</t>
  </si>
  <si>
    <t>ORD100135</t>
  </si>
  <si>
    <t>CUST8298</t>
  </si>
  <si>
    <t>Customer_489</t>
  </si>
  <si>
    <t>ORD100148</t>
  </si>
  <si>
    <t>CUST8408</t>
  </si>
  <si>
    <t>ORD100181</t>
  </si>
  <si>
    <t>CUST3366</t>
  </si>
  <si>
    <t>Customer_363</t>
  </si>
  <si>
    <t>ORD100188</t>
  </si>
  <si>
    <t>CUST9059</t>
  </si>
  <si>
    <t>ORD100190</t>
  </si>
  <si>
    <t>CUST7574</t>
  </si>
  <si>
    <t>Customer_66</t>
  </si>
  <si>
    <t>ORD100191</t>
  </si>
  <si>
    <t>CUST1436</t>
  </si>
  <si>
    <t>Customer_144</t>
  </si>
  <si>
    <t>ORD100197</t>
  </si>
  <si>
    <t>CUST3685</t>
  </si>
  <si>
    <t>Customer_94</t>
  </si>
  <si>
    <t>ORD100214</t>
  </si>
  <si>
    <t>CUST8049</t>
  </si>
  <si>
    <t>Customer_384</t>
  </si>
  <si>
    <t>ORD100216</t>
  </si>
  <si>
    <t>CUST5355</t>
  </si>
  <si>
    <t>Customer_108</t>
  </si>
  <si>
    <t>ORD100217</t>
  </si>
  <si>
    <t>CUST3186</t>
  </si>
  <si>
    <t>Customer_412</t>
  </si>
  <si>
    <t>ORD100250</t>
  </si>
  <si>
    <t>CUST3169</t>
  </si>
  <si>
    <t>Customer_138</t>
  </si>
  <si>
    <t>ORD100281</t>
  </si>
  <si>
    <t>CUST3877</t>
  </si>
  <si>
    <t>ORD100282</t>
  </si>
  <si>
    <t>CUST6407</t>
  </si>
  <si>
    <t>Customer_157</t>
  </si>
  <si>
    <t>ORD100287</t>
  </si>
  <si>
    <t>CUST8105</t>
  </si>
  <si>
    <t>Customer_385</t>
  </si>
  <si>
    <t>ORD100288</t>
  </si>
  <si>
    <t>CUST6002</t>
  </si>
  <si>
    <t>ORD100299</t>
  </si>
  <si>
    <t>CUST6028</t>
  </si>
  <si>
    <t>Customer_58</t>
  </si>
  <si>
    <t>ORD100310</t>
  </si>
  <si>
    <t>CUST1762</t>
  </si>
  <si>
    <t>Customer_141</t>
  </si>
  <si>
    <t>ORD100315</t>
  </si>
  <si>
    <t>CUST7059</t>
  </si>
  <si>
    <t>Customer_224</t>
  </si>
  <si>
    <t>ORD100323</t>
  </si>
  <si>
    <t>CUST1932</t>
  </si>
  <si>
    <t>Customer_369</t>
  </si>
  <si>
    <t>ORD100325</t>
  </si>
  <si>
    <t>CUST7196</t>
  </si>
  <si>
    <t>Customer_286</t>
  </si>
  <si>
    <t>ORD100330</t>
  </si>
  <si>
    <t>CUST5621</t>
  </si>
  <si>
    <t>Customer_427</t>
  </si>
  <si>
    <t>ORD100338</t>
  </si>
  <si>
    <t>CUST9849</t>
  </si>
  <si>
    <t>Customer_264</t>
  </si>
  <si>
    <t>ORD100347</t>
  </si>
  <si>
    <t>CUST1577</t>
  </si>
  <si>
    <t>Customer_59</t>
  </si>
  <si>
    <t>ORD100348</t>
  </si>
  <si>
    <t>CUST7654</t>
  </si>
  <si>
    <t>Customer_172</t>
  </si>
  <si>
    <t>ORD100359</t>
  </si>
  <si>
    <t>CUST3763</t>
  </si>
  <si>
    <t>Customer_221</t>
  </si>
  <si>
    <t>ORD100361</t>
  </si>
  <si>
    <t>CUST7309</t>
  </si>
  <si>
    <t>Customer_266</t>
  </si>
  <si>
    <t>ORD100376</t>
  </si>
  <si>
    <t>CUST9776</t>
  </si>
  <si>
    <t>ORD100383</t>
  </si>
  <si>
    <t>CUST3365</t>
  </si>
  <si>
    <t>Customer_80</t>
  </si>
  <si>
    <t>ORD100385</t>
  </si>
  <si>
    <t>CUST2242</t>
  </si>
  <si>
    <t>Customer_331</t>
  </si>
  <si>
    <t>ORD100386</t>
  </si>
  <si>
    <t>CUST8164</t>
  </si>
  <si>
    <t>Customer_156</t>
  </si>
  <si>
    <t>ORD100390</t>
  </si>
  <si>
    <t>CUST2671</t>
  </si>
  <si>
    <t>ORD100404</t>
  </si>
  <si>
    <t>CUST4414</t>
  </si>
  <si>
    <t>Customer_194</t>
  </si>
  <si>
    <t>ORD100420</t>
  </si>
  <si>
    <t>CUST2231</t>
  </si>
  <si>
    <t>Customer_38</t>
  </si>
  <si>
    <t>ORD100428</t>
  </si>
  <si>
    <t>CUST9754</t>
  </si>
  <si>
    <t>Customer_304</t>
  </si>
  <si>
    <t>ORD100431</t>
  </si>
  <si>
    <t>CUST4215</t>
  </si>
  <si>
    <t>ORD100432</t>
  </si>
  <si>
    <t>CUST2935</t>
  </si>
  <si>
    <t>Customer_26</t>
  </si>
  <si>
    <t>ORD100434</t>
  </si>
  <si>
    <t>CUST4982</t>
  </si>
  <si>
    <t>ORD100442</t>
  </si>
  <si>
    <t>CUST6887</t>
  </si>
  <si>
    <t>Customer_423</t>
  </si>
  <si>
    <t>ORD100444</t>
  </si>
  <si>
    <t>CUST9942</t>
  </si>
  <si>
    <t>ORD100454</t>
  </si>
  <si>
    <t>ORD100459</t>
  </si>
  <si>
    <t>CUST9131</t>
  </si>
  <si>
    <t>ORD100460</t>
  </si>
  <si>
    <t>CUST4317</t>
  </si>
  <si>
    <t>Customer_498</t>
  </si>
  <si>
    <t>ORD100463</t>
  </si>
  <si>
    <t>CUST7664</t>
  </si>
  <si>
    <t>ORD100469</t>
  </si>
  <si>
    <t>CUST8899</t>
  </si>
  <si>
    <t>Customer_482</t>
  </si>
  <si>
    <t>ORD100471</t>
  </si>
  <si>
    <t>CUST5363</t>
  </si>
  <si>
    <t>ORD100492</t>
  </si>
  <si>
    <t>CUST2708</t>
  </si>
  <si>
    <t>Customer_57</t>
  </si>
  <si>
    <t>ORD100494</t>
  </si>
  <si>
    <t>CUST8425</t>
  </si>
  <si>
    <t>Customer_254</t>
  </si>
  <si>
    <t>ORD100499</t>
  </si>
  <si>
    <t>CUST1616</t>
  </si>
  <si>
    <t>ORD100502</t>
  </si>
  <si>
    <t>CUST8789</t>
  </si>
  <si>
    <t>Customer_4</t>
  </si>
  <si>
    <t>ORD100511</t>
  </si>
  <si>
    <t>CUST1565</t>
  </si>
  <si>
    <t>Customer_353</t>
  </si>
  <si>
    <t>ORD100515</t>
  </si>
  <si>
    <t>CUST2661</t>
  </si>
  <si>
    <t>ORD100516</t>
  </si>
  <si>
    <t>CUST1316</t>
  </si>
  <si>
    <t>Customer_3</t>
  </si>
  <si>
    <t>ORD100532</t>
  </si>
  <si>
    <t>CUST3835</t>
  </si>
  <si>
    <t>Customer_256</t>
  </si>
  <si>
    <t>ORD100535</t>
  </si>
  <si>
    <t>CUST2742</t>
  </si>
  <si>
    <t>ORD100558</t>
  </si>
  <si>
    <t>CUST1401</t>
  </si>
  <si>
    <t>ORD100559</t>
  </si>
  <si>
    <t>ORD100562</t>
  </si>
  <si>
    <t>CUST3001</t>
  </si>
  <si>
    <t>Customer_327</t>
  </si>
  <si>
    <t>ORD100572</t>
  </si>
  <si>
    <t>CUST3820</t>
  </si>
  <si>
    <t>Customer_312</t>
  </si>
  <si>
    <t>ORD100579</t>
  </si>
  <si>
    <t>CUST6006</t>
  </si>
  <si>
    <t>Customer_344</t>
  </si>
  <si>
    <t>ORD100583</t>
  </si>
  <si>
    <t>CUST1936</t>
  </si>
  <si>
    <t>ORD100591</t>
  </si>
  <si>
    <t>CUST9489</t>
  </si>
  <si>
    <t>ORD100596</t>
  </si>
  <si>
    <t>Customer_394</t>
  </si>
  <si>
    <t>ORD100598</t>
  </si>
  <si>
    <t>CUST4099</t>
  </si>
  <si>
    <t>Customer_377</t>
  </si>
  <si>
    <t>ORD100611</t>
  </si>
  <si>
    <t>CUST8583</t>
  </si>
  <si>
    <t>Customer_290</t>
  </si>
  <si>
    <t>ORD100614</t>
  </si>
  <si>
    <t>CUST9217</t>
  </si>
  <si>
    <t>ORD100615</t>
  </si>
  <si>
    <t>CUST4150</t>
  </si>
  <si>
    <t>ORD100628</t>
  </si>
  <si>
    <t>CUST9567</t>
  </si>
  <si>
    <t>Customer_218</t>
  </si>
  <si>
    <t>ORD100641</t>
  </si>
  <si>
    <t>CUST6345</t>
  </si>
  <si>
    <t>Customer_214</t>
  </si>
  <si>
    <t>ORD100646</t>
  </si>
  <si>
    <t>CUST4673</t>
  </si>
  <si>
    <t>Customer_386</t>
  </si>
  <si>
    <t>ORD100649</t>
  </si>
  <si>
    <t>CUST4109</t>
  </si>
  <si>
    <t>Customer_31</t>
  </si>
  <si>
    <t>ORD100657</t>
  </si>
  <si>
    <t>CUST8110</t>
  </si>
  <si>
    <t>Customer_268</t>
  </si>
  <si>
    <t>ORD100671</t>
  </si>
  <si>
    <t>CUST1681</t>
  </si>
  <si>
    <t>Customer_160</t>
  </si>
  <si>
    <t>ORD100673</t>
  </si>
  <si>
    <t>CUST2218</t>
  </si>
  <si>
    <t>Customer_392</t>
  </si>
  <si>
    <t>ORD100698</t>
  </si>
  <si>
    <t>CUST7317</t>
  </si>
  <si>
    <t>ORD100706</t>
  </si>
  <si>
    <t>CUST8532</t>
  </si>
  <si>
    <t>Customer_323</t>
  </si>
  <si>
    <t>ORD100722</t>
  </si>
  <si>
    <t>CUST8431</t>
  </si>
  <si>
    <t>Customer_90</t>
  </si>
  <si>
    <t>ORD100723</t>
  </si>
  <si>
    <t>CUST8657</t>
  </si>
  <si>
    <t>Customer_495</t>
  </si>
  <si>
    <t>ORD100724</t>
  </si>
  <si>
    <t>CUST6762</t>
  </si>
  <si>
    <t>ORD100740</t>
  </si>
  <si>
    <t>CUST2589</t>
  </si>
  <si>
    <t>ORD100755</t>
  </si>
  <si>
    <t>CUST9651</t>
  </si>
  <si>
    <t>Customer_461</t>
  </si>
  <si>
    <t>ORD100761</t>
  </si>
  <si>
    <t>CUST3851</t>
  </si>
  <si>
    <t>ORD100771</t>
  </si>
  <si>
    <t>CUST5415</t>
  </si>
  <si>
    <t>Customer_460</t>
  </si>
  <si>
    <t>ORD100804</t>
  </si>
  <si>
    <t>CUST3690</t>
  </si>
  <si>
    <t>ORD100815</t>
  </si>
  <si>
    <t>CUST6336</t>
  </si>
  <si>
    <t>Customer_63</t>
  </si>
  <si>
    <t>ORD100829</t>
  </si>
  <si>
    <t>CUST8319</t>
  </si>
  <si>
    <t>Customer_362</t>
  </si>
  <si>
    <t>ORD100842</t>
  </si>
  <si>
    <t>CUST8217</t>
  </si>
  <si>
    <t>ORD100853</t>
  </si>
  <si>
    <t>CUST1962</t>
  </si>
  <si>
    <t>Customer_116</t>
  </si>
  <si>
    <t>ORD100858</t>
  </si>
  <si>
    <t>CUST7578</t>
  </si>
  <si>
    <t>Customer_245</t>
  </si>
  <si>
    <t>ORD100863</t>
  </si>
  <si>
    <t>CUST9510</t>
  </si>
  <si>
    <t>ORD100869</t>
  </si>
  <si>
    <t>CUST4996</t>
  </si>
  <si>
    <t>Customer_184</t>
  </si>
  <si>
    <t>ORD100875</t>
  </si>
  <si>
    <t>ORD100883</t>
  </si>
  <si>
    <t>CUST1779</t>
  </si>
  <si>
    <t>Customer_378</t>
  </si>
  <si>
    <t>ORD100888</t>
  </si>
  <si>
    <t>CUST4926</t>
  </si>
  <si>
    <t>Customer_102</t>
  </si>
  <si>
    <t>ORD100892</t>
  </si>
  <si>
    <t>CUST3603</t>
  </si>
  <si>
    <t>ORD100902</t>
  </si>
  <si>
    <t>CUST6881</t>
  </si>
  <si>
    <t>Customer_158</t>
  </si>
  <si>
    <t>ORD100905</t>
  </si>
  <si>
    <t>CUST9994</t>
  </si>
  <si>
    <t>Customer_13</t>
  </si>
  <si>
    <t>ORD100909</t>
  </si>
  <si>
    <t>CUST1759</t>
  </si>
  <si>
    <t>Customer_71</t>
  </si>
  <si>
    <t>ORD100921</t>
  </si>
  <si>
    <t>CUST6414</t>
  </si>
  <si>
    <t>Customer_82</t>
  </si>
  <si>
    <t>ORD100925</t>
  </si>
  <si>
    <t>CUST9299</t>
  </si>
  <si>
    <t>ORD100926</t>
  </si>
  <si>
    <t>CUST5160</t>
  </si>
  <si>
    <t>ORD100930</t>
  </si>
  <si>
    <t>CUST4565</t>
  </si>
  <si>
    <t>Customer_359</t>
  </si>
  <si>
    <t>ORD100935</t>
  </si>
  <si>
    <t>CUST2025</t>
  </si>
  <si>
    <t>Customer_239</t>
  </si>
  <si>
    <t>ORD100945</t>
  </si>
  <si>
    <t>CUST7718</t>
  </si>
  <si>
    <t>Customer_293</t>
  </si>
  <si>
    <t>ORD100952</t>
  </si>
  <si>
    <t>CUST1357</t>
  </si>
  <si>
    <t>Customer_361</t>
  </si>
  <si>
    <t>ORD100966</t>
  </si>
  <si>
    <t>CUST7238</t>
  </si>
  <si>
    <t>ORD100968</t>
  </si>
  <si>
    <t>CUST7185</t>
  </si>
  <si>
    <t>Customer_285</t>
  </si>
  <si>
    <t>ORD100972</t>
  </si>
  <si>
    <t>CUST5829</t>
  </si>
  <si>
    <t>Customer_37</t>
  </si>
  <si>
    <t>ORD100977</t>
  </si>
  <si>
    <t>CUST5373</t>
  </si>
  <si>
    <t>ORD101000</t>
  </si>
  <si>
    <t>CUST9501</t>
  </si>
  <si>
    <t>Customer_241</t>
  </si>
  <si>
    <t>ORD100019</t>
  </si>
  <si>
    <t>CUST3508</t>
  </si>
  <si>
    <t>Gaya</t>
  </si>
  <si>
    <t>ORD100024</t>
  </si>
  <si>
    <t>CUST1406</t>
  </si>
  <si>
    <t>Customer_499</t>
  </si>
  <si>
    <t>ORD100031</t>
  </si>
  <si>
    <t>CUST3212</t>
  </si>
  <si>
    <t>ORD100035</t>
  </si>
  <si>
    <t>CUST4002</t>
  </si>
  <si>
    <t>Customer_388</t>
  </si>
  <si>
    <t>ORD100036</t>
  </si>
  <si>
    <t>CUST8975</t>
  </si>
  <si>
    <t>Customer_315</t>
  </si>
  <si>
    <t>ORD100065</t>
  </si>
  <si>
    <t>CUST5386</t>
  </si>
  <si>
    <t>ORD100073</t>
  </si>
  <si>
    <t>CUST4958</t>
  </si>
  <si>
    <t>ORD100076</t>
  </si>
  <si>
    <t>CUST8430</t>
  </si>
  <si>
    <t>Customer_277</t>
  </si>
  <si>
    <t>ORD100080</t>
  </si>
  <si>
    <t>CUST5607</t>
  </si>
  <si>
    <t>ORD100081</t>
  </si>
  <si>
    <t>CUST8211</t>
  </si>
  <si>
    <t>Customer_62</t>
  </si>
  <si>
    <t>ORD100084</t>
  </si>
  <si>
    <t>CUST7484</t>
  </si>
  <si>
    <t>ORD100099</t>
  </si>
  <si>
    <t>CUST5232</t>
  </si>
  <si>
    <t>Customer_395</t>
  </si>
  <si>
    <t>ORD100104</t>
  </si>
  <si>
    <t>CUST5926</t>
  </si>
  <si>
    <t>Customer_308</t>
  </si>
  <si>
    <t>ORD100105</t>
  </si>
  <si>
    <t>CUST3809</t>
  </si>
  <si>
    <t>ORD100112</t>
  </si>
  <si>
    <t>Customer_341</t>
  </si>
  <si>
    <t>ORD100121</t>
  </si>
  <si>
    <t>CUST9563</t>
  </si>
  <si>
    <t>Customer_166</t>
  </si>
  <si>
    <t>ORD100128</t>
  </si>
  <si>
    <t>CUST6238</t>
  </si>
  <si>
    <t>Customer_258</t>
  </si>
  <si>
    <t>ORD100129</t>
  </si>
  <si>
    <t>CUST8352</t>
  </si>
  <si>
    <t>Customer_400</t>
  </si>
  <si>
    <t>ORD100132</t>
  </si>
  <si>
    <t>CUST7031</t>
  </si>
  <si>
    <t>ORD100141</t>
  </si>
  <si>
    <t>CUST4824</t>
  </si>
  <si>
    <t>Customer_98</t>
  </si>
  <si>
    <t>ORD100143</t>
  </si>
  <si>
    <t>CUST1113</t>
  </si>
  <si>
    <t>ORD100145</t>
  </si>
  <si>
    <t>CUST6997</t>
  </si>
  <si>
    <t>Customer_244</t>
  </si>
  <si>
    <t>ORD100146</t>
  </si>
  <si>
    <t>CUST2480</t>
  </si>
  <si>
    <t>Customer_491</t>
  </si>
  <si>
    <t>ORD100152</t>
  </si>
  <si>
    <t>CUST5188</t>
  </si>
  <si>
    <t>ORD100158</t>
  </si>
  <si>
    <t>CUST4137</t>
  </si>
  <si>
    <t>ORD100174</t>
  </si>
  <si>
    <t>CUST4685</t>
  </si>
  <si>
    <t>Customer_22</t>
  </si>
  <si>
    <t>ORD100179</t>
  </si>
  <si>
    <t>CUST4747</t>
  </si>
  <si>
    <t>Customer_193</t>
  </si>
  <si>
    <t>ORD100182</t>
  </si>
  <si>
    <t>CUST1215</t>
  </si>
  <si>
    <t>Customer_19</t>
  </si>
  <si>
    <t>ORD100186</t>
  </si>
  <si>
    <t>CUST3397</t>
  </si>
  <si>
    <t>Customer_101</t>
  </si>
  <si>
    <t>ORD100187</t>
  </si>
  <si>
    <t>CUST4777</t>
  </si>
  <si>
    <t>ORD100207</t>
  </si>
  <si>
    <t>CUST9728</t>
  </si>
  <si>
    <t>ORD100232</t>
  </si>
  <si>
    <t>CUST9158</t>
  </si>
  <si>
    <t>Customer_297</t>
  </si>
  <si>
    <t>ORD100261</t>
  </si>
  <si>
    <t>CUST6927</t>
  </si>
  <si>
    <t>ORD100266</t>
  </si>
  <si>
    <t>CUST7501</t>
  </si>
  <si>
    <t>Customer_2</t>
  </si>
  <si>
    <t>ORD100279</t>
  </si>
  <si>
    <t>CUST3341</t>
  </si>
  <si>
    <t>Customer_263</t>
  </si>
  <si>
    <t>ORD100292</t>
  </si>
  <si>
    <t>CUST8650</t>
  </si>
  <si>
    <t>ORD100304</t>
  </si>
  <si>
    <t>CUST1183</t>
  </si>
  <si>
    <t>ORD100327</t>
  </si>
  <si>
    <t>CUST9627</t>
  </si>
  <si>
    <t>Customer_444</t>
  </si>
  <si>
    <t>ORD100345</t>
  </si>
  <si>
    <t>Customer_257</t>
  </si>
  <si>
    <t>ORD100355</t>
  </si>
  <si>
    <t>CUST3265</t>
  </si>
  <si>
    <t>ORD100357</t>
  </si>
  <si>
    <t>CUST5743</t>
  </si>
  <si>
    <t>Customer_248</t>
  </si>
  <si>
    <t>ORD100365</t>
  </si>
  <si>
    <t>CUST7621</t>
  </si>
  <si>
    <t>ORD100367</t>
  </si>
  <si>
    <t>CUST3023</t>
  </si>
  <si>
    <t>Customer_223</t>
  </si>
  <si>
    <t>ORD100397</t>
  </si>
  <si>
    <t>CUST3345</t>
  </si>
  <si>
    <t>Customer_202</t>
  </si>
  <si>
    <t>ORD100403</t>
  </si>
  <si>
    <t>CUST4625</t>
  </si>
  <si>
    <t>Customer_296</t>
  </si>
  <si>
    <t>ORD100415</t>
  </si>
  <si>
    <t>CUST3277</t>
  </si>
  <si>
    <t>Customer_148</t>
  </si>
  <si>
    <t>ORD100416</t>
  </si>
  <si>
    <t>CUST5932</t>
  </si>
  <si>
    <t>Customer_183</t>
  </si>
  <si>
    <t>ORD100423</t>
  </si>
  <si>
    <t>CUST9649</t>
  </si>
  <si>
    <t>Customer_322</t>
  </si>
  <si>
    <t>ORD100426</t>
  </si>
  <si>
    <t>CUST4269</t>
  </si>
  <si>
    <t>ORD100427</t>
  </si>
  <si>
    <t>CUST1253</t>
  </si>
  <si>
    <t>Customer_334</t>
  </si>
  <si>
    <t>ORD100436</t>
  </si>
  <si>
    <t>CUST3418</t>
  </si>
  <si>
    <t>ORD100440</t>
  </si>
  <si>
    <t>CUST9209</t>
  </si>
  <si>
    <t>Customer_173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</si>
  <si>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</si>
  <si>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</si>
  <si>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</si>
  <si>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</si>
  <si>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</si>
  <si>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</si>
  <si>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</si>
  <si>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CUST9219</t>
  </si>
  <si>
    <t>Customer_132</t>
  </si>
  <si>
    <t>ORD100452</t>
  </si>
  <si>
    <t>CUST5766</t>
  </si>
  <si>
    <t>Customer_85</t>
  </si>
  <si>
    <t>ORD100470</t>
  </si>
  <si>
    <t>CUST1453</t>
  </si>
  <si>
    <t>Customer_60</t>
  </si>
  <si>
    <t>ORD100476</t>
  </si>
  <si>
    <t>CUST1940</t>
  </si>
  <si>
    <t>Customer_40</t>
  </si>
  <si>
    <t>ORD100485</t>
  </si>
  <si>
    <t>CUST9464</t>
  </si>
  <si>
    <t>ORD100488</t>
  </si>
  <si>
    <t>CUST7117</t>
  </si>
  <si>
    <t>ORD100493</t>
  </si>
  <si>
    <t>CUST1833</t>
  </si>
  <si>
    <t>ORD100495</t>
  </si>
  <si>
    <t>CUST3911</t>
  </si>
  <si>
    <t>ORD100496</t>
  </si>
  <si>
    <t>CUST2812</t>
  </si>
  <si>
    <t>ORD100506</t>
  </si>
  <si>
    <t>CUST2027</t>
  </si>
  <si>
    <t>Customer_458</t>
  </si>
  <si>
    <t>ORD100522</t>
  </si>
  <si>
    <t>CUST6260</t>
  </si>
  <si>
    <t>Customer_455</t>
  </si>
  <si>
    <t>ORD100523</t>
  </si>
  <si>
    <t>CUST9055</t>
  </si>
  <si>
    <t>ORD100530</t>
  </si>
  <si>
    <t>CUST4089</t>
  </si>
  <si>
    <t>Customer_79</t>
  </si>
  <si>
    <t>ORD100531</t>
  </si>
  <si>
    <t>CUST7568</t>
  </si>
  <si>
    <t>Customer_12</t>
  </si>
  <si>
    <t>ORD100539</t>
  </si>
  <si>
    <t>CUST5535</t>
  </si>
  <si>
    <t>Customer_146</t>
  </si>
  <si>
    <t>ORD100541</t>
  </si>
  <si>
    <t>CUST3972</t>
  </si>
  <si>
    <t>Customer_336</t>
  </si>
  <si>
    <t>ORD100544</t>
  </si>
  <si>
    <t>CUST7033</t>
  </si>
  <si>
    <t>ORD100555</t>
  </si>
  <si>
    <t>CUST1399</t>
  </si>
  <si>
    <t>Customer_431</t>
  </si>
  <si>
    <t>ORD100586</t>
  </si>
  <si>
    <t>CUST8826</t>
  </si>
  <si>
    <t>Customer_206</t>
  </si>
  <si>
    <t>ORD100603</t>
  </si>
  <si>
    <t>CUST7221</t>
  </si>
  <si>
    <t>ORD100604</t>
  </si>
  <si>
    <t>CUST5899</t>
  </si>
  <si>
    <t>Customer_500</t>
  </si>
  <si>
    <t>ORD100609</t>
  </si>
  <si>
    <t>CUST6314</t>
  </si>
  <si>
    <t>ORD100621</t>
  </si>
  <si>
    <t>CUST1835</t>
  </si>
  <si>
    <t>Customer_81</t>
  </si>
  <si>
    <t>ORD100626</t>
  </si>
  <si>
    <t>CUST8649</t>
  </si>
  <si>
    <t>ORD100640</t>
  </si>
  <si>
    <t>CUST6421</t>
  </si>
  <si>
    <t>ORD100659</t>
  </si>
  <si>
    <t>CUST4537</t>
  </si>
  <si>
    <t>Customer_9</t>
  </si>
  <si>
    <t>ORD100663</t>
  </si>
  <si>
    <t>CUST1673</t>
  </si>
  <si>
    <t>ORD100672</t>
  </si>
  <si>
    <t>CUST7863</t>
  </si>
  <si>
    <t>Customer_316</t>
  </si>
  <si>
    <t>ORD100696</t>
  </si>
  <si>
    <t>CUST7631</t>
  </si>
  <si>
    <t>ORD100701</t>
  </si>
  <si>
    <t>CUST3078</t>
  </si>
  <si>
    <t>ORD100703</t>
  </si>
  <si>
    <t>CUST7236</t>
  </si>
  <si>
    <t>Customer_366</t>
  </si>
  <si>
    <t>ORD100704</t>
  </si>
  <si>
    <t>CUST4420</t>
  </si>
  <si>
    <t>ORD100711</t>
  </si>
  <si>
    <t>CUST1175</t>
  </si>
  <si>
    <t>Customer_472</t>
  </si>
  <si>
    <t>ORD100731</t>
  </si>
  <si>
    <t>CUST1269</t>
  </si>
  <si>
    <t>ORD100734</t>
  </si>
  <si>
    <t>CUST8314</t>
  </si>
  <si>
    <t>Customer_440</t>
  </si>
  <si>
    <t>ORD100736</t>
  </si>
  <si>
    <t>CUST2793</t>
  </si>
  <si>
    <t>Customer_462</t>
  </si>
  <si>
    <t>ORD100743</t>
  </si>
  <si>
    <t>CUST2138</t>
  </si>
  <si>
    <t>Customer_303</t>
  </si>
  <si>
    <t>ORD100748</t>
  </si>
  <si>
    <t>CUST9465</t>
  </si>
  <si>
    <t>ORD100763</t>
  </si>
  <si>
    <t>CUST3580</t>
  </si>
  <si>
    <t>ORD100776</t>
  </si>
  <si>
    <t>CUST6116</t>
  </si>
  <si>
    <t>Customer_343</t>
  </si>
  <si>
    <t>ORD100787</t>
  </si>
  <si>
    <t>CUST6565</t>
  </si>
  <si>
    <t>ORD100801</t>
  </si>
  <si>
    <t>CUST3297</t>
  </si>
  <si>
    <t>Customer_465</t>
  </si>
  <si>
    <t>ORD100806</t>
  </si>
  <si>
    <t>CUST9089</t>
  </si>
  <si>
    <t>ORD100822</t>
  </si>
  <si>
    <t>CUST6340</t>
  </si>
  <si>
    <t>ORD100824</t>
  </si>
  <si>
    <t>CUST8199</t>
  </si>
  <si>
    <t>Customer_39</t>
  </si>
  <si>
    <t>ORD100828</t>
  </si>
  <si>
    <t>CUST6944</t>
  </si>
  <si>
    <t>ORD100834</t>
  </si>
  <si>
    <t>CUST3264</t>
  </si>
  <si>
    <t>ORD100835</t>
  </si>
  <si>
    <t>CUST9364</t>
  </si>
  <si>
    <t>ORD100851</t>
  </si>
  <si>
    <t>CUST4431</t>
  </si>
  <si>
    <t>Customer_177</t>
  </si>
  <si>
    <t>ORD100862</t>
  </si>
  <si>
    <t>CUST7072</t>
  </si>
  <si>
    <t>ORD100881</t>
  </si>
  <si>
    <t>CUST9404</t>
  </si>
  <si>
    <t>ORD100904</t>
  </si>
  <si>
    <t>CUST1890</t>
  </si>
  <si>
    <t>ORD100912</t>
  </si>
  <si>
    <t>CUST2384</t>
  </si>
  <si>
    <t>ORD100923</t>
  </si>
  <si>
    <t>CUST4106</t>
  </si>
  <si>
    <t>Customer_226</t>
  </si>
  <si>
    <t>ORD100941</t>
  </si>
  <si>
    <t>CUST9493</t>
  </si>
  <si>
    <t>ORD100962</t>
  </si>
  <si>
    <t>CUST8525</t>
  </si>
  <si>
    <t>Customer_126</t>
  </si>
  <si>
    <t>ORD100963</t>
  </si>
  <si>
    <t>CUST9285</t>
  </si>
  <si>
    <t>Customer_452</t>
  </si>
  <si>
    <t>ORD100971</t>
  </si>
  <si>
    <t>CUST6987</t>
  </si>
  <si>
    <t>Customer_107</t>
  </si>
  <si>
    <t>ORD100985</t>
  </si>
  <si>
    <t>CUST3730</t>
  </si>
  <si>
    <t>ORD100989</t>
  </si>
  <si>
    <t>CUST2418</t>
  </si>
  <si>
    <t>Customer_425</t>
  </si>
  <si>
    <t>ORD100997</t>
  </si>
  <si>
    <t>CUST6410</t>
  </si>
  <si>
    <t>Customer_301</t>
  </si>
  <si>
    <t>ORD100998</t>
  </si>
  <si>
    <t>CUST7618</t>
  </si>
  <si>
    <t>Customer_154</t>
  </si>
  <si>
    <t>ORD101001</t>
  </si>
  <si>
    <t>CUST2714</t>
  </si>
  <si>
    <t>ORD100007</t>
  </si>
  <si>
    <t>CUST3952</t>
  </si>
  <si>
    <t>Hyderabad</t>
  </si>
  <si>
    <t>ORD100042</t>
  </si>
  <si>
    <t>CUST9953</t>
  </si>
  <si>
    <t>Customer_484</t>
  </si>
  <si>
    <t>ORD100046</t>
  </si>
  <si>
    <t>CUST5903</t>
  </si>
  <si>
    <t>Customer_396</t>
  </si>
  <si>
    <t>ORD100064</t>
  </si>
  <si>
    <t>CUST1887</t>
  </si>
  <si>
    <t>ORD100069</t>
  </si>
  <si>
    <t>CUST9869</t>
  </si>
  <si>
    <t>ORD100072</t>
  </si>
  <si>
    <t>CUST2565</t>
  </si>
  <si>
    <t>ORD100082</t>
  </si>
  <si>
    <t>CUST5367</t>
  </si>
  <si>
    <t>ORD100083</t>
  </si>
  <si>
    <t>CUST8346</t>
  </si>
  <si>
    <t>ORD100086</t>
  </si>
  <si>
    <t>CUST4229</t>
  </si>
  <si>
    <t>Customer_234</t>
  </si>
  <si>
    <t>ORD100090</t>
  </si>
  <si>
    <t>CUST7476</t>
  </si>
  <si>
    <t>Customer_45</t>
  </si>
  <si>
    <t>ORD100096</t>
  </si>
  <si>
    <t>CUST2190</t>
  </si>
  <si>
    <t>Customer_318</t>
  </si>
  <si>
    <t>ORD100098</t>
  </si>
  <si>
    <t>CUST8623</t>
  </si>
  <si>
    <t>Customer_84</t>
  </si>
  <si>
    <t>ORD100110</t>
  </si>
  <si>
    <t>CUST5524</t>
  </si>
  <si>
    <t>ORD100114</t>
  </si>
  <si>
    <t>CUST3794</t>
  </si>
  <si>
    <t>ORD100116</t>
  </si>
  <si>
    <t>CUST8316</t>
  </si>
  <si>
    <t>Customer_121</t>
  </si>
  <si>
    <t>ORD100119</t>
  </si>
  <si>
    <t>CUST7341</t>
  </si>
  <si>
    <t>ORD100123</t>
  </si>
  <si>
    <t>CUST2423</t>
  </si>
  <si>
    <t>ORD100124</t>
  </si>
  <si>
    <t>CUST2378</t>
  </si>
  <si>
    <t>Customer_95</t>
  </si>
  <si>
    <t>ORD100125</t>
  </si>
  <si>
    <t>CUST6995</t>
  </si>
  <si>
    <t>Customer_374</t>
  </si>
  <si>
    <t>ORD100140</t>
  </si>
  <si>
    <t>CUST6625</t>
  </si>
  <si>
    <t>ORD100160</t>
  </si>
  <si>
    <t>CUST7263</t>
  </si>
  <si>
    <t>ORD100165</t>
  </si>
  <si>
    <t>CUST8010</t>
  </si>
  <si>
    <t>Customer_187</t>
  </si>
  <si>
    <t>ORD100166</t>
  </si>
  <si>
    <t>CUST9008</t>
  </si>
  <si>
    <t>Customer_279</t>
  </si>
  <si>
    <t>ORD100173</t>
  </si>
  <si>
    <t>CUST4009</t>
  </si>
  <si>
    <t>Customer_273</t>
  </si>
  <si>
    <t>ORD100185</t>
  </si>
  <si>
    <t>CUST3662</t>
  </si>
  <si>
    <t>ORD100193</t>
  </si>
  <si>
    <t>CUST5168</t>
  </si>
  <si>
    <t>Customer_295</t>
  </si>
  <si>
    <t>ORD100203</t>
  </si>
  <si>
    <t>Customer_449</t>
  </si>
  <si>
    <t>ORD100206</t>
  </si>
  <si>
    <t>CUST1049</t>
  </si>
  <si>
    <t>Customer_243</t>
  </si>
  <si>
    <t>ORD100210</t>
  </si>
  <si>
    <t>CUST6518</t>
  </si>
  <si>
    <t>Customer_410</t>
  </si>
  <si>
    <t>ORD100215</t>
  </si>
  <si>
    <t>CUST4705</t>
  </si>
  <si>
    <t>ORD100219</t>
  </si>
  <si>
    <t>CUST9645</t>
  </si>
  <si>
    <t>ORD100220</t>
  </si>
  <si>
    <t>CUST2997</t>
  </si>
  <si>
    <t>Customer_181</t>
  </si>
  <si>
    <t>ORD100221</t>
  </si>
  <si>
    <t>CUST2088</t>
  </si>
  <si>
    <t>Customer_382</t>
  </si>
  <si>
    <t>ORD100227</t>
  </si>
  <si>
    <t>CUST6773</t>
  </si>
  <si>
    <t>ORD100239</t>
  </si>
  <si>
    <t>CUST9191</t>
  </si>
  <si>
    <t>ORD100242</t>
  </si>
  <si>
    <t>CUST6111</t>
  </si>
  <si>
    <t>Customer_204</t>
  </si>
  <si>
    <t>ORD100246</t>
  </si>
  <si>
    <t>CUST4094</t>
  </si>
  <si>
    <t>ORD100249</t>
  </si>
  <si>
    <t>CUST5454</t>
  </si>
  <si>
    <t>Customer_368</t>
  </si>
  <si>
    <t>ORD100252</t>
  </si>
  <si>
    <t>CUST9097</t>
  </si>
  <si>
    <t>ORD100260</t>
  </si>
  <si>
    <t>Customer_420</t>
  </si>
  <si>
    <t>ORD100263</t>
  </si>
  <si>
    <t>CUST6585</t>
  </si>
  <si>
    <t>ORD100265</t>
  </si>
  <si>
    <t>CUST9233</t>
  </si>
  <si>
    <t>Customer_485</t>
  </si>
  <si>
    <t>ORD100285</t>
  </si>
  <si>
    <t>CUST9910</t>
  </si>
  <si>
    <t>Customer_110</t>
  </si>
  <si>
    <t>ORD100286</t>
  </si>
  <si>
    <t>CUST7806</t>
  </si>
  <si>
    <t>ORD100294</t>
  </si>
  <si>
    <t>CUST4169</t>
  </si>
  <si>
    <t>Customer_307</t>
  </si>
  <si>
    <t>ORD100296</t>
  </si>
  <si>
    <t>CUST8294</t>
  </si>
  <si>
    <t>ORD100311</t>
  </si>
  <si>
    <t>CUST1743</t>
  </si>
  <si>
    <t>ORD100312</t>
  </si>
  <si>
    <t>CUST9788</t>
  </si>
  <si>
    <t>Customer_229</t>
  </si>
  <si>
    <t>ORD100313</t>
  </si>
  <si>
    <t>CUST2687</t>
  </si>
  <si>
    <t>Customer_190</t>
  </si>
  <si>
    <t>ORD100317</t>
  </si>
  <si>
    <t>ORD100324</t>
  </si>
  <si>
    <t>CUST2094</t>
  </si>
  <si>
    <t>ORD100356</t>
  </si>
  <si>
    <t>CUST4601</t>
  </si>
  <si>
    <t>ORD100388</t>
  </si>
  <si>
    <t>CUST3129</t>
  </si>
  <si>
    <t>ORD100393</t>
  </si>
  <si>
    <t>CUST3393</t>
  </si>
  <si>
    <t>Customer_175</t>
  </si>
  <si>
    <t>ORD100400</t>
  </si>
  <si>
    <t>CUST5102</t>
  </si>
  <si>
    <t>Customer_416</t>
  </si>
  <si>
    <t>ORD100408</t>
  </si>
  <si>
    <t>CUST8759</t>
  </si>
  <si>
    <t>ORD100422</t>
  </si>
  <si>
    <t>CUST1764</t>
  </si>
  <si>
    <t>ORD100429</t>
  </si>
  <si>
    <t>CUST2697</t>
  </si>
  <si>
    <t>Customer_155</t>
  </si>
  <si>
    <t>ORD100458</t>
  </si>
  <si>
    <t>CUST6136</t>
  </si>
  <si>
    <t>Customer_328</t>
  </si>
  <si>
    <t>ORD100464</t>
  </si>
  <si>
    <t>CUST1710</t>
  </si>
  <si>
    <t>ORD100479</t>
  </si>
  <si>
    <t>CUST9259</t>
  </si>
  <si>
    <t>Customer_276</t>
  </si>
  <si>
    <t>ORD100484</t>
  </si>
  <si>
    <t>CUST8322</t>
  </si>
  <si>
    <t>Customer_429</t>
  </si>
  <si>
    <t>ORD100490</t>
  </si>
  <si>
    <t>CUST6969</t>
  </si>
  <si>
    <t>ORD100491</t>
  </si>
  <si>
    <t>CUST9486</t>
  </si>
  <si>
    <t>ORD100503</t>
  </si>
  <si>
    <t>CUST4457</t>
  </si>
  <si>
    <t>Customer_212</t>
  </si>
  <si>
    <t>ORD100505</t>
  </si>
  <si>
    <t>CUST9324</t>
  </si>
  <si>
    <t>ORD100520</t>
  </si>
  <si>
    <t>CUST9042</t>
  </si>
  <si>
    <t>Customer_354</t>
  </si>
  <si>
    <t>ORD100521</t>
  </si>
  <si>
    <t>CUST8907</t>
  </si>
  <si>
    <t>ORD100549</t>
  </si>
  <si>
    <t>CUST1780</t>
  </si>
  <si>
    <t>Customer_250</t>
  </si>
  <si>
    <t>ORD100556</t>
  </si>
  <si>
    <t>CUST2515</t>
  </si>
  <si>
    <t>Customer_219</t>
  </si>
  <si>
    <t>ORD100557</t>
  </si>
  <si>
    <t>CUST7285</t>
  </si>
  <si>
    <t>Customer_493</t>
  </si>
  <si>
    <t>ORD100564</t>
  </si>
  <si>
    <t>CUST3473</t>
  </si>
  <si>
    <t>ORD100570</t>
  </si>
  <si>
    <t>CUST9273</t>
  </si>
  <si>
    <t>ORD100588</t>
  </si>
  <si>
    <t>CUST8600</t>
  </si>
  <si>
    <t>ORD100608</t>
  </si>
  <si>
    <t>CUST2364</t>
  </si>
  <si>
    <t>ORD100623</t>
  </si>
  <si>
    <t>CUST1452</t>
  </si>
  <si>
    <t>Customer_68</t>
  </si>
  <si>
    <t>ORD100624</t>
  </si>
  <si>
    <t>CUST7416</t>
  </si>
  <si>
    <t>ORD100627</t>
  </si>
  <si>
    <t>CUST7361</t>
  </si>
  <si>
    <t>Customer_159</t>
  </si>
  <si>
    <t>ORD100631</t>
  </si>
  <si>
    <t>CUST6845</t>
  </si>
  <si>
    <t>Customer_337</t>
  </si>
  <si>
    <t>ORD100655</t>
  </si>
  <si>
    <t>CUST8347</t>
  </si>
  <si>
    <t>Customer_236</t>
  </si>
  <si>
    <t>ORD100662</t>
  </si>
  <si>
    <t>CUST8300</t>
  </si>
  <si>
    <t>ORD100677</t>
  </si>
  <si>
    <t>CUST4997</t>
  </si>
  <si>
    <t>Customer_371</t>
  </si>
  <si>
    <t>ORD100678</t>
  </si>
  <si>
    <t>CUST2827</t>
  </si>
  <si>
    <t>ORD100681</t>
  </si>
  <si>
    <t>CUST8364</t>
  </si>
  <si>
    <t>Customer_325</t>
  </si>
  <si>
    <t>ORD100683</t>
  </si>
  <si>
    <t>CUST1104</t>
  </si>
  <si>
    <t>ORD100686</t>
  </si>
  <si>
    <t>CUST3966</t>
  </si>
  <si>
    <t>ORD100710</t>
  </si>
  <si>
    <t>CUST6870</t>
  </si>
  <si>
    <t>ORD100712</t>
  </si>
  <si>
    <t>CUST3745</t>
  </si>
  <si>
    <t>ORD100732</t>
  </si>
  <si>
    <t>CUST6578</t>
  </si>
  <si>
    <t>ORD100739</t>
  </si>
  <si>
    <t>CUST9414</t>
  </si>
  <si>
    <t>ORD100753</t>
  </si>
  <si>
    <t>CUST9650</t>
  </si>
  <si>
    <t>ORD100758</t>
  </si>
  <si>
    <t>CUST7173</t>
  </si>
  <si>
    <t>Customer_44</t>
  </si>
  <si>
    <t>ORD100760</t>
  </si>
  <si>
    <t>CUST2867</t>
  </si>
  <si>
    <t>ORD100767</t>
  </si>
  <si>
    <t>CUST1790</t>
  </si>
  <si>
    <t>ORD100773</t>
  </si>
  <si>
    <t>CUST7110</t>
  </si>
  <si>
    <t>ORD100778</t>
  </si>
  <si>
    <t>ORD100779</t>
  </si>
  <si>
    <t>CUST3948</t>
  </si>
  <si>
    <t>ORD100810</t>
  </si>
  <si>
    <t>CUST1658</t>
  </si>
  <si>
    <t>Customer_324</t>
  </si>
  <si>
    <t>ORD100814</t>
  </si>
  <si>
    <t>CUST1149</t>
  </si>
  <si>
    <t>Customer_14</t>
  </si>
  <si>
    <t>ORD100818</t>
  </si>
  <si>
    <t>CUST3006</t>
  </si>
  <si>
    <t>ORD100839</t>
  </si>
  <si>
    <t>CUST8766</t>
  </si>
  <si>
    <t>Customer_140</t>
  </si>
  <si>
    <t>ORD100843</t>
  </si>
  <si>
    <t>CUST6780</t>
  </si>
  <si>
    <t>Customer_262</t>
  </si>
  <si>
    <t>ORD100866</t>
  </si>
  <si>
    <t>CUST3767</t>
  </si>
  <si>
    <t>Customer_470</t>
  </si>
  <si>
    <t>ORD100874</t>
  </si>
  <si>
    <t>CUST4391</t>
  </si>
  <si>
    <t>ORD100879</t>
  </si>
  <si>
    <t>CUST1258</t>
  </si>
  <si>
    <t>ORD100882</t>
  </si>
  <si>
    <t>CUST6532</t>
  </si>
  <si>
    <t>ORD100894</t>
  </si>
  <si>
    <t>CUST7068</t>
  </si>
  <si>
    <t>Customer_106</t>
  </si>
  <si>
    <t>ORD100906</t>
  </si>
  <si>
    <t>CUST1906</t>
  </si>
  <si>
    <t>Customer_76</t>
  </si>
  <si>
    <t>ORD100908</t>
  </si>
  <si>
    <t>CUST6241</t>
  </si>
  <si>
    <t>ORD100910</t>
  </si>
  <si>
    <t>CUST4515</t>
  </si>
  <si>
    <t>ORD100915</t>
  </si>
  <si>
    <t>CUST1753</t>
  </si>
  <si>
    <t>ORD100922</t>
  </si>
  <si>
    <t>CUST3652</t>
  </si>
  <si>
    <t>Customer_436</t>
  </si>
  <si>
    <t>ORD100933</t>
  </si>
  <si>
    <t>CUST8537</t>
  </si>
  <si>
    <t>Customer_494</t>
  </si>
  <si>
    <t>ORD100940</t>
  </si>
  <si>
    <t>CUST8466</t>
  </si>
  <si>
    <t>ORD100942</t>
  </si>
  <si>
    <t>CUST3576</t>
  </si>
  <si>
    <t>ORD100946</t>
  </si>
  <si>
    <t>CUST3330</t>
  </si>
  <si>
    <t>Customer_450</t>
  </si>
  <si>
    <t>ORD100947</t>
  </si>
  <si>
    <t>CUST9113</t>
  </si>
  <si>
    <t>ORD100955</t>
  </si>
  <si>
    <t>CUST7177</t>
  </si>
  <si>
    <t>ORD100957</t>
  </si>
  <si>
    <t>CUST8996</t>
  </si>
  <si>
    <t>ORD100973</t>
  </si>
  <si>
    <t>CUST2542</t>
  </si>
  <si>
    <t>ORD100978</t>
  </si>
  <si>
    <t>CUST2256</t>
  </si>
  <si>
    <t>Customer_284</t>
  </si>
  <si>
    <t>ORD100979</t>
  </si>
  <si>
    <t>CUST7388</t>
  </si>
  <si>
    <t>ORD100981</t>
  </si>
  <si>
    <t>CUST9081</t>
  </si>
  <si>
    <t>ORD100986</t>
  </si>
  <si>
    <t>CUST9945</t>
  </si>
  <si>
    <t>ORD100999</t>
  </si>
  <si>
    <t>CUST9544</t>
  </si>
  <si>
    <t>ORD100005</t>
  </si>
  <si>
    <t>Kolkata</t>
  </si>
  <si>
    <t>ORD100009</t>
  </si>
  <si>
    <t>CUST9622</t>
  </si>
  <si>
    <t>ORD100011</t>
  </si>
  <si>
    <t>CUST1312</t>
  </si>
  <si>
    <t>ORD100021</t>
  </si>
  <si>
    <t>CUST6504</t>
  </si>
  <si>
    <t>ORD100039</t>
  </si>
  <si>
    <t>CUST7249</t>
  </si>
  <si>
    <t>ORD100043</t>
  </si>
  <si>
    <t>CUST6938</t>
  </si>
  <si>
    <t>ORD100049</t>
  </si>
  <si>
    <t>CUST2705</t>
  </si>
  <si>
    <t>Customer_117</t>
  </si>
  <si>
    <t>ORD100063</t>
  </si>
  <si>
    <t>CUST6236</t>
  </si>
  <si>
    <t>ORD100066</t>
  </si>
  <si>
    <t>CUST8065</t>
  </si>
  <si>
    <t>ORD100088</t>
  </si>
  <si>
    <t>CUST1246</t>
  </si>
  <si>
    <t>ORD100092</t>
  </si>
  <si>
    <t>CUST8578</t>
  </si>
  <si>
    <t>ORD100102</t>
  </si>
  <si>
    <t>CUST5005</t>
  </si>
  <si>
    <t>ORD100111</t>
  </si>
  <si>
    <t>CUST9882</t>
  </si>
  <si>
    <t>CUST3194</t>
  </si>
  <si>
    <t>Customer_114</t>
  </si>
  <si>
    <t>ORD100142</t>
  </si>
  <si>
    <t>CUST1339</t>
  </si>
  <si>
    <t>ORD100144</t>
  </si>
  <si>
    <t>CUST4034</t>
  </si>
  <si>
    <t>Customer_271</t>
  </si>
  <si>
    <t>ORD100159</t>
  </si>
  <si>
    <t>CUST5113</t>
  </si>
  <si>
    <t>ORD100162</t>
  </si>
  <si>
    <t>CUST9297</t>
  </si>
  <si>
    <t>Customer_488</t>
  </si>
  <si>
    <t>ORD100180</t>
  </si>
  <si>
    <t>CUST1766</t>
  </si>
  <si>
    <t>Customer_319</t>
  </si>
  <si>
    <t>ORD100184</t>
  </si>
  <si>
    <t>CUST5988</t>
  </si>
  <si>
    <t>ORD100192</t>
  </si>
  <si>
    <t>CUST3625</t>
  </si>
  <si>
    <t>ORD100200</t>
  </si>
  <si>
    <t>CUST2953</t>
  </si>
  <si>
    <t>Customer_435</t>
  </si>
  <si>
    <t>ORD100205</t>
  </si>
  <si>
    <t>CUST2448</t>
  </si>
  <si>
    <t>ORD100208</t>
  </si>
  <si>
    <t>CUST6932</t>
  </si>
  <si>
    <t>ORD100209</t>
  </si>
  <si>
    <t>CUST9159</t>
  </si>
  <si>
    <t>ORD100218</t>
  </si>
  <si>
    <t>CUST1822</t>
  </si>
  <si>
    <t>Customer_174</t>
  </si>
  <si>
    <t>ORD100238</t>
  </si>
  <si>
    <t>CUST5945</t>
  </si>
  <si>
    <t>Customer_49</t>
  </si>
  <si>
    <t>ORD100253</t>
  </si>
  <si>
    <t>CUST2006</t>
  </si>
  <si>
    <t>Customer_131</t>
  </si>
  <si>
    <t>ORD100254</t>
  </si>
  <si>
    <t>CUST5418</t>
  </si>
  <si>
    <t>ORD100270</t>
  </si>
  <si>
    <t>CUST7413</t>
  </si>
  <si>
    <t>ORD100283</t>
  </si>
  <si>
    <t>CUST4381</t>
  </si>
  <si>
    <t>ORD100289</t>
  </si>
  <si>
    <t>CUST1334</t>
  </si>
  <si>
    <t>Customer_364</t>
  </si>
  <si>
    <t>ORD100293</t>
  </si>
  <si>
    <t>CUST9284</t>
  </si>
  <si>
    <t>ORD100301</t>
  </si>
  <si>
    <t>CUST5406</t>
  </si>
  <si>
    <t>Customer_164</t>
  </si>
  <si>
    <t>ORD100308</t>
  </si>
  <si>
    <t>CUST6206</t>
  </si>
  <si>
    <t>Customer_18</t>
  </si>
  <si>
    <t>ORD100318</t>
  </si>
  <si>
    <t>CUST2457</t>
  </si>
  <si>
    <t>ORD100322</t>
  </si>
  <si>
    <t>CUST2650</t>
  </si>
  <si>
    <t>ORD100332</t>
  </si>
  <si>
    <t>ORD100335</t>
  </si>
  <si>
    <t>CUST8904</t>
  </si>
  <si>
    <t>Customer_152</t>
  </si>
  <si>
    <t>ORD100358</t>
  </si>
  <si>
    <t>CUST8871</t>
  </si>
  <si>
    <t>ORD100371</t>
  </si>
  <si>
    <t>CUST8318</t>
  </si>
  <si>
    <t>ORD100380</t>
  </si>
  <si>
    <t>CUST6531</t>
  </si>
  <si>
    <t>ORD100382</t>
  </si>
  <si>
    <t>CUST4655</t>
  </si>
  <si>
    <t>ORD100387</t>
  </si>
  <si>
    <t>CUST9469</t>
  </si>
  <si>
    <t>ORD100391</t>
  </si>
  <si>
    <t>ORD100411</t>
  </si>
  <si>
    <t>CUST6631</t>
  </si>
  <si>
    <t>ORD100418</t>
  </si>
  <si>
    <t>ORD100433</t>
  </si>
  <si>
    <t>CUST9381</t>
  </si>
  <si>
    <t>ORD100445</t>
  </si>
  <si>
    <t>CUST1256</t>
  </si>
  <si>
    <t>ORD100446</t>
  </si>
  <si>
    <t>CUST1841</t>
  </si>
  <si>
    <t>Customer_129</t>
  </si>
  <si>
    <t>ORD100462</t>
  </si>
  <si>
    <t>CUST9379</t>
  </si>
  <si>
    <t>ORD100466</t>
  </si>
  <si>
    <t>CUST6783</t>
  </si>
  <si>
    <t>ORD100467</t>
  </si>
  <si>
    <t>CUST8039</t>
  </si>
  <si>
    <t>ORD100482</t>
  </si>
  <si>
    <t>CUST2632</t>
  </si>
  <si>
    <t>Customer_321</t>
  </si>
  <si>
    <t>ORD100483</t>
  </si>
  <si>
    <t>CUST3723</t>
  </si>
  <si>
    <t>Customer_208</t>
  </si>
  <si>
    <t>ORD100489</t>
  </si>
  <si>
    <t>CUST4167</t>
  </si>
  <si>
    <t>Customer_113</t>
  </si>
  <si>
    <t>ORD100497</t>
  </si>
  <si>
    <t>CUST8000</t>
  </si>
  <si>
    <t>Customer_275</t>
  </si>
  <si>
    <t>ORD100500</t>
  </si>
  <si>
    <t>CUST2835</t>
  </si>
  <si>
    <t>ORD100507</t>
  </si>
  <si>
    <t>CUST9966</t>
  </si>
  <si>
    <t>Customer_199</t>
  </si>
  <si>
    <t>ORD100509</t>
  </si>
  <si>
    <t>CUST9303</t>
  </si>
  <si>
    <t>ORD100518</t>
  </si>
  <si>
    <t>CUST3089</t>
  </si>
  <si>
    <t>Customer_339</t>
  </si>
  <si>
    <t>ORD100552</t>
  </si>
  <si>
    <t>CUST7042</t>
  </si>
  <si>
    <t>Customer_137</t>
  </si>
  <si>
    <t>ORD100560</t>
  </si>
  <si>
    <t>CUST9612</t>
  </si>
  <si>
    <t>ORD100561</t>
  </si>
  <si>
    <t>CUST2520</t>
  </si>
  <si>
    <t>Customer_93</t>
  </si>
  <si>
    <t>ORD100569</t>
  </si>
  <si>
    <t>ORD100576</t>
  </si>
  <si>
    <t>CUST8820</t>
  </si>
  <si>
    <t>ORD100581</t>
  </si>
  <si>
    <t>CUST1468</t>
  </si>
  <si>
    <t>ORD100587</t>
  </si>
  <si>
    <t>CUST9700</t>
  </si>
  <si>
    <t>Customer_441</t>
  </si>
  <si>
    <t>ORD100593</t>
  </si>
  <si>
    <t>CUST1840</t>
  </si>
  <si>
    <t>ORD100599</t>
  </si>
  <si>
    <t>CUST3107</t>
  </si>
  <si>
    <t>ORD100601</t>
  </si>
  <si>
    <t>CUST9111</t>
  </si>
  <si>
    <t>ORD100606</t>
  </si>
  <si>
    <t>CUST4438</t>
  </si>
  <si>
    <t>ORD100610</t>
  </si>
  <si>
    <t>CUST8128</t>
  </si>
  <si>
    <t>ORD100612</t>
  </si>
  <si>
    <t>CUST4488</t>
  </si>
  <si>
    <t>Customer_414</t>
  </si>
  <si>
    <t>ORD100617</t>
  </si>
  <si>
    <t>CUST1991</t>
  </si>
  <si>
    <t>ORD100619</t>
  </si>
  <si>
    <t>CUST6678</t>
  </si>
  <si>
    <t>ORD100620</t>
  </si>
  <si>
    <t>CUST8268</t>
  </si>
  <si>
    <t>ORD100636</t>
  </si>
  <si>
    <t>CUST4810</t>
  </si>
  <si>
    <t>ORD100644</t>
  </si>
  <si>
    <t>CUST6589</t>
  </si>
  <si>
    <t>ORD100651</t>
  </si>
  <si>
    <t>CUST8708</t>
  </si>
  <si>
    <t>ORD100653</t>
  </si>
  <si>
    <t>CUST5516</t>
  </si>
  <si>
    <t>ORD100666</t>
  </si>
  <si>
    <t>CUST3237</t>
  </si>
  <si>
    <t>ORD100674</t>
  </si>
  <si>
    <t>CUST6288</t>
  </si>
  <si>
    <t>ORD100689</t>
  </si>
  <si>
    <t>CUST3682</t>
  </si>
  <si>
    <t>ORD100690</t>
  </si>
  <si>
    <t>CUST4110</t>
  </si>
  <si>
    <t>Customer_73</t>
  </si>
  <si>
    <t>ORD100691</t>
  </si>
  <si>
    <t>CUST2597</t>
  </si>
  <si>
    <t>ORD100693</t>
  </si>
  <si>
    <t>CUST4270</t>
  </si>
  <si>
    <t>ORD100702</t>
  </si>
  <si>
    <t>CUST8962</t>
  </si>
  <si>
    <t>ORD100708</t>
  </si>
  <si>
    <t>CUST4742</t>
  </si>
  <si>
    <t>ORD100714</t>
  </si>
  <si>
    <t>CUST4037</t>
  </si>
  <si>
    <t>ORD100715</t>
  </si>
  <si>
    <t>CUST8877</t>
  </si>
  <si>
    <t>ORD100725</t>
  </si>
  <si>
    <t>CUST5477</t>
  </si>
  <si>
    <t>ORD100727</t>
  </si>
  <si>
    <t>CUST3850</t>
  </si>
  <si>
    <t>ORD100729</t>
  </si>
  <si>
    <t>CUST5295</t>
  </si>
  <si>
    <t>ORD100730</t>
  </si>
  <si>
    <t>CUST4553</t>
  </si>
  <si>
    <t>ORD100737</t>
  </si>
  <si>
    <t>CUST7522</t>
  </si>
  <si>
    <t>ORD100738</t>
  </si>
  <si>
    <t>CUST1987</t>
  </si>
  <si>
    <t>Customer_35</t>
  </si>
  <si>
    <t>ORD100741</t>
  </si>
  <si>
    <t>CUST8851</t>
  </si>
  <si>
    <t>Customer_118</t>
  </si>
  <si>
    <t>ORD100749</t>
  </si>
  <si>
    <t>CUST6348</t>
  </si>
  <si>
    <t>ORD100754</t>
  </si>
  <si>
    <t>CUST2604</t>
  </si>
  <si>
    <t>Customer_356</t>
  </si>
  <si>
    <t>ORD100757</t>
  </si>
  <si>
    <t>CUST9515</t>
  </si>
  <si>
    <t>Customer_52</t>
  </si>
  <si>
    <t>ORD100759</t>
  </si>
  <si>
    <t>CUST6279</t>
  </si>
  <si>
    <t>Customer_97</t>
  </si>
  <si>
    <t>ORD100762</t>
  </si>
  <si>
    <t>CUST8729</t>
  </si>
  <si>
    <t>Customer_72</t>
  </si>
  <si>
    <t>ORD100772</t>
  </si>
  <si>
    <t>CUST6752</t>
  </si>
  <si>
    <t>ORD100782</t>
  </si>
  <si>
    <t>CUST7724</t>
  </si>
  <si>
    <t>ORD100785</t>
  </si>
  <si>
    <t>CUST7650</t>
  </si>
  <si>
    <t>ORD100788</t>
  </si>
  <si>
    <t>CUST2969</t>
  </si>
  <si>
    <t>ORD100789</t>
  </si>
  <si>
    <t>CUST3298</t>
  </si>
  <si>
    <t>ORD100793</t>
  </si>
  <si>
    <t>CUST2859</t>
  </si>
  <si>
    <t>ORD100798</t>
  </si>
  <si>
    <t>CUST5718</t>
  </si>
  <si>
    <t>Customer_251</t>
  </si>
  <si>
    <t>ORD100803</t>
  </si>
  <si>
    <t>CUST3189</t>
  </si>
  <si>
    <t>ORD100807</t>
  </si>
  <si>
    <t>CUST6442</t>
  </si>
  <si>
    <t>Customer_10</t>
  </si>
  <si>
    <t>ORD100816</t>
  </si>
  <si>
    <t>CUST1960</t>
  </si>
  <si>
    <t>ORD100819</t>
  </si>
  <si>
    <t>CUST8754</t>
  </si>
  <si>
    <t>Customer_77</t>
  </si>
  <si>
    <t>ORD100830</t>
  </si>
  <si>
    <t>CUST6540</t>
  </si>
  <si>
    <t>ORD100832</t>
  </si>
  <si>
    <t>CUST5605</t>
  </si>
  <si>
    <t>Customer_23</t>
  </si>
  <si>
    <t>ORD100833</t>
  </si>
  <si>
    <t>CUST8704</t>
  </si>
  <si>
    <t>ORD100837</t>
  </si>
  <si>
    <t>CUST6067</t>
  </si>
  <si>
    <t>CUST5585</t>
  </si>
  <si>
    <t>Customer_289</t>
  </si>
  <si>
    <t>ORD100846</t>
  </si>
  <si>
    <t>CUST1026</t>
  </si>
  <si>
    <t>Customer_445</t>
  </si>
  <si>
    <t>ORD100850</t>
  </si>
  <si>
    <t>CUST2834</t>
  </si>
  <si>
    <t>ORD100857</t>
  </si>
  <si>
    <t>CUST4973</t>
  </si>
  <si>
    <t>ORD100860</t>
  </si>
  <si>
    <t>CUST3430</t>
  </si>
  <si>
    <t>ORD100870</t>
  </si>
  <si>
    <t>CUST4112</t>
  </si>
  <si>
    <t>ORD100884</t>
  </si>
  <si>
    <t>CUST4651</t>
  </si>
  <si>
    <t>ORD100927</t>
  </si>
  <si>
    <t>CUST2260</t>
  </si>
  <si>
    <t>ORD100934</t>
  </si>
  <si>
    <t>ORD100936</t>
  </si>
  <si>
    <t>CUST1122</t>
  </si>
  <si>
    <t>Customer_447</t>
  </si>
  <si>
    <t>ORD100949</t>
  </si>
  <si>
    <t>CUST8381</t>
  </si>
  <si>
    <t>Customer_112</t>
  </si>
  <si>
    <t>ORD100953</t>
  </si>
  <si>
    <t>CUST4337</t>
  </si>
  <si>
    <t>ORD100959</t>
  </si>
  <si>
    <t>ORD100974</t>
  </si>
  <si>
    <t>CUST4869</t>
  </si>
  <si>
    <t>ORD100992</t>
  </si>
  <si>
    <t>CUST6389</t>
  </si>
  <si>
    <t>ORD100010</t>
  </si>
  <si>
    <t>CUST9770</t>
  </si>
  <si>
    <t>Mumbai</t>
  </si>
  <si>
    <t>ORD100020</t>
  </si>
  <si>
    <t>ORD100023</t>
  </si>
  <si>
    <t>CUST2903</t>
  </si>
  <si>
    <t>ORD100027</t>
  </si>
  <si>
    <t>CUST2482</t>
  </si>
  <si>
    <t>ORD100028</t>
  </si>
  <si>
    <t>CUST2003</t>
  </si>
  <si>
    <t>ORD100032</t>
  </si>
  <si>
    <t>CUST5063</t>
  </si>
  <si>
    <t>Customer_50</t>
  </si>
  <si>
    <t>ORD100033</t>
  </si>
  <si>
    <t>CUST9565</t>
  </si>
  <si>
    <t>ORD100034</t>
  </si>
  <si>
    <t>CUST9325</t>
  </si>
  <si>
    <t>ORD100041</t>
  </si>
  <si>
    <t>CUST7988</t>
  </si>
  <si>
    <t>Customer_383</t>
  </si>
  <si>
    <t>ORD100047</t>
  </si>
  <si>
    <t>CUST4943</t>
  </si>
  <si>
    <t>Customer_198</t>
  </si>
  <si>
    <t>ORD100051</t>
  </si>
  <si>
    <t>CUST1557</t>
  </si>
  <si>
    <t>Customer_87</t>
  </si>
  <si>
    <t>ORD100060</t>
  </si>
  <si>
    <t>CUST2411</t>
  </si>
  <si>
    <t>Customer_292</t>
  </si>
  <si>
    <t>ORD100062</t>
  </si>
  <si>
    <t>CUST9745</t>
  </si>
  <si>
    <t>ORD100087</t>
  </si>
  <si>
    <t>CUST2290</t>
  </si>
  <si>
    <t>Customer_195</t>
  </si>
  <si>
    <t>ORD100091</t>
  </si>
  <si>
    <t>CUST7037</t>
  </si>
  <si>
    <t>ORD100097</t>
  </si>
  <si>
    <t>CUST7277</t>
  </si>
  <si>
    <t>Customer_320</t>
  </si>
  <si>
    <t>ORD100103</t>
  </si>
  <si>
    <t>CUST3210</t>
  </si>
  <si>
    <t>ORD100106</t>
  </si>
  <si>
    <t>CUST2079</t>
  </si>
  <si>
    <t>ORD100136</t>
  </si>
  <si>
    <t>CUST9577</t>
  </si>
  <si>
    <t>ORD100137</t>
  </si>
  <si>
    <t>CUST3054</t>
  </si>
  <si>
    <t>ORD100151</t>
  </si>
  <si>
    <t>CUST4829</t>
  </si>
  <si>
    <t>ORD100153</t>
  </si>
  <si>
    <t>CUST1928</t>
  </si>
  <si>
    <t>Customer_17</t>
  </si>
  <si>
    <t>ORD100154</t>
  </si>
  <si>
    <t>CUST3887</t>
  </si>
  <si>
    <t>ORD100163</t>
  </si>
  <si>
    <t>CUST2295</t>
  </si>
  <si>
    <t>ORD100172</t>
  </si>
  <si>
    <t>CUST4062</t>
  </si>
  <si>
    <t>ORD100176</t>
  </si>
  <si>
    <t>CUST8722</t>
  </si>
  <si>
    <t>Customer_475</t>
  </si>
  <si>
    <t>ORD100196</t>
  </si>
  <si>
    <t>CUST3002</t>
  </si>
  <si>
    <t>ORD100204</t>
  </si>
  <si>
    <t>CUST2428</t>
  </si>
  <si>
    <t>Customer_127</t>
  </si>
  <si>
    <t>ORD100213</t>
  </si>
  <si>
    <t>CUST6727</t>
  </si>
  <si>
    <t>ORD100224</t>
  </si>
  <si>
    <t>CUST7613</t>
  </si>
  <si>
    <t>Customer_432</t>
  </si>
  <si>
    <t>ORD100231</t>
  </si>
  <si>
    <t>CUST7315</t>
  </si>
  <si>
    <t>Customer_283</t>
  </si>
  <si>
    <t>ORD100233</t>
  </si>
  <si>
    <t>CUST6522</t>
  </si>
  <si>
    <t>ORD100236</t>
  </si>
  <si>
    <t>CUST6082</t>
  </si>
  <si>
    <t>ORD100244</t>
  </si>
  <si>
    <t>CUST6584</t>
  </si>
  <si>
    <t>ORD100276</t>
  </si>
  <si>
    <t>CUST6444</t>
  </si>
  <si>
    <t>ORD100284</t>
  </si>
  <si>
    <t>CUST5097</t>
  </si>
  <si>
    <t>ORD100290</t>
  </si>
  <si>
    <t>CUST9248</t>
  </si>
  <si>
    <t>Customer_451</t>
  </si>
  <si>
    <t>ORD100297</t>
  </si>
  <si>
    <t>CUST4845</t>
  </si>
  <si>
    <t>Customer_401</t>
  </si>
  <si>
    <t>ORD100320</t>
  </si>
  <si>
    <t>CUST1516</t>
  </si>
  <si>
    <t>ORD100321</t>
  </si>
  <si>
    <t>CUST4527</t>
  </si>
  <si>
    <t>ORD100334</t>
  </si>
  <si>
    <t>CUST5933</t>
  </si>
  <si>
    <t>ORD100336</t>
  </si>
  <si>
    <t>CUST2599</t>
  </si>
  <si>
    <t>ORD100339</t>
  </si>
  <si>
    <t>CUST3891</t>
  </si>
  <si>
    <t>ORD100342</t>
  </si>
  <si>
    <t>CUST9557</t>
  </si>
  <si>
    <t>ORD100352</t>
  </si>
  <si>
    <t>CUST1170</t>
  </si>
  <si>
    <t>ORD100354</t>
  </si>
  <si>
    <t>CUST7104</t>
  </si>
  <si>
    <t>ORD100372</t>
  </si>
  <si>
    <t>CUST9485</t>
  </si>
  <si>
    <t>Customer_43</t>
  </si>
  <si>
    <t>ORD100373</t>
  </si>
  <si>
    <t>CUST9022</t>
  </si>
  <si>
    <t>ORD100396</t>
  </si>
  <si>
    <t>ORD100402</t>
  </si>
  <si>
    <t>CUST2137</t>
  </si>
  <si>
    <t>ORD100407</t>
  </si>
  <si>
    <t>CUST5430</t>
  </si>
  <si>
    <t>Customer_333</t>
  </si>
  <si>
    <t>ORD100430</t>
  </si>
  <si>
    <t>ORD100438</t>
  </si>
  <si>
    <t>CUST7937</t>
  </si>
  <si>
    <t>ORD100443</t>
  </si>
  <si>
    <t>CUST8515</t>
  </si>
  <si>
    <t>ORD100455</t>
  </si>
  <si>
    <t>CUST9125</t>
  </si>
  <si>
    <t>ORD100473</t>
  </si>
  <si>
    <t>CUST7374</t>
  </si>
  <si>
    <t>ORD100474</t>
  </si>
  <si>
    <t>CUST3741</t>
  </si>
  <si>
    <t>ORD100478</t>
  </si>
  <si>
    <t>CUST7981</t>
  </si>
  <si>
    <t>Customer_196</t>
  </si>
  <si>
    <t>ORD100501</t>
  </si>
  <si>
    <t>CUST7494</t>
  </si>
  <si>
    <t>Customer_188</t>
  </si>
  <si>
    <t>ORD100508</t>
  </si>
  <si>
    <t>CUST3747</t>
  </si>
  <si>
    <t>ORD100510</t>
  </si>
  <si>
    <t>CUST9282</t>
  </si>
  <si>
    <t>ORD100512</t>
  </si>
  <si>
    <t>CUST6704</t>
  </si>
  <si>
    <t>ORD100513</t>
  </si>
  <si>
    <t>CUST8023</t>
  </si>
  <si>
    <t>ORD100517</t>
  </si>
  <si>
    <t>CUST7283</t>
  </si>
  <si>
    <t>ORD100526</t>
  </si>
  <si>
    <t>CUST6706</t>
  </si>
  <si>
    <t>Customer_215</t>
  </si>
  <si>
    <t>ORD100529</t>
  </si>
  <si>
    <t>CUST5233</t>
  </si>
  <si>
    <t>ORD100534</t>
  </si>
  <si>
    <t>CUST8700</t>
  </si>
  <si>
    <t>ORD100537</t>
  </si>
  <si>
    <t>ORD100540</t>
  </si>
  <si>
    <t>CUST1419</t>
  </si>
  <si>
    <t>ORD100546</t>
  </si>
  <si>
    <t>CUST2039</t>
  </si>
  <si>
    <t>ORD100554</t>
  </si>
  <si>
    <t>CUST3623</t>
  </si>
  <si>
    <t>ORD100567</t>
  </si>
  <si>
    <t>CUST5431</t>
  </si>
  <si>
    <t>ORD100584</t>
  </si>
  <si>
    <t>CUST8399</t>
  </si>
  <si>
    <t>ORD100590</t>
  </si>
  <si>
    <t>CUST8595</t>
  </si>
  <si>
    <t>ORD100592</t>
  </si>
  <si>
    <t>CUST7226</t>
  </si>
  <si>
    <t>Customer_421</t>
  </si>
  <si>
    <t>ORD100594</t>
  </si>
  <si>
    <t>CUST9449</t>
  </si>
  <si>
    <t>Customer_178</t>
  </si>
  <si>
    <t>ORD100597</t>
  </si>
  <si>
    <t>CUST4417</t>
  </si>
  <si>
    <t>ORD100607</t>
  </si>
  <si>
    <t>CUST9123</t>
  </si>
  <si>
    <t>ORD100613</t>
  </si>
  <si>
    <t>CUST5178</t>
  </si>
  <si>
    <t>Customer_170</t>
  </si>
  <si>
    <t>ORD100625</t>
  </si>
  <si>
    <t>ORD100629</t>
  </si>
  <si>
    <t>CUST6432</t>
  </si>
  <si>
    <t>ORD100642</t>
  </si>
  <si>
    <t>CUST9384</t>
  </si>
  <si>
    <t>ORD100643</t>
  </si>
  <si>
    <t>ORD100654</t>
  </si>
  <si>
    <t>CUST9562</t>
  </si>
  <si>
    <t>ORD100660</t>
  </si>
  <si>
    <t>CUST5154</t>
  </si>
  <si>
    <t>ORD100667</t>
  </si>
  <si>
    <t>CUST2794</t>
  </si>
  <si>
    <t>ORD100676</t>
  </si>
  <si>
    <t>CUST1433</t>
  </si>
  <si>
    <t>ORD100680</t>
  </si>
  <si>
    <t>CUST7093</t>
  </si>
  <si>
    <t>ORD100682</t>
  </si>
  <si>
    <t>CUST3285</t>
  </si>
  <si>
    <t>ORD100685</t>
  </si>
  <si>
    <t>ORD100687</t>
  </si>
  <si>
    <t>CUST2093</t>
  </si>
  <si>
    <t>Customer_428</t>
  </si>
  <si>
    <t>ORD100692</t>
  </si>
  <si>
    <t>CUST8390</t>
  </si>
  <si>
    <t>ORD100694</t>
  </si>
  <si>
    <t>CUST3138</t>
  </si>
  <si>
    <t>ORD100700</t>
  </si>
  <si>
    <t>CUST9674</t>
  </si>
  <si>
    <t>ORD100705</t>
  </si>
  <si>
    <t>CUST6621</t>
  </si>
  <si>
    <t>CUST7824</t>
  </si>
  <si>
    <t>ORD100765</t>
  </si>
  <si>
    <t>CUST8834</t>
  </si>
  <si>
    <t>ORD100780</t>
  </si>
  <si>
    <t>CUST2369</t>
  </si>
  <si>
    <t>Customer_259</t>
  </si>
  <si>
    <t>ORD100790</t>
  </si>
  <si>
    <t>CUST3260</t>
  </si>
  <si>
    <t>Customer_237</t>
  </si>
  <si>
    <t>ORD100791</t>
  </si>
  <si>
    <t>CUST9962</t>
  </si>
  <si>
    <t>ORD100796</t>
  </si>
  <si>
    <t>ORD100799</t>
  </si>
  <si>
    <t>CUST8242</t>
  </si>
  <si>
    <t>ORD100802</t>
  </si>
  <si>
    <t>CUST4901</t>
  </si>
  <si>
    <t>ORD100812</t>
  </si>
  <si>
    <t>CUST4941</t>
  </si>
  <si>
    <t>ORD100821</t>
  </si>
  <si>
    <t>CUST4979</t>
  </si>
  <si>
    <t>ORD100827</t>
  </si>
  <si>
    <t>CUST6162</t>
  </si>
  <si>
    <t>ORD100838</t>
  </si>
  <si>
    <t>CUST5389</t>
  </si>
  <si>
    <t>ORD100841</t>
  </si>
  <si>
    <t>CUST7544</t>
  </si>
  <si>
    <t>ORD100852</t>
  </si>
  <si>
    <t>CUST3744</t>
  </si>
  <si>
    <t>ORD100873</t>
  </si>
  <si>
    <t>CUST5319</t>
  </si>
  <si>
    <t>ORD100876</t>
  </si>
  <si>
    <t>CUST7473</t>
  </si>
  <si>
    <t>Customer_372</t>
  </si>
  <si>
    <t>ORD100878</t>
  </si>
  <si>
    <t>CUST7091</t>
  </si>
  <si>
    <t>ORD100880</t>
  </si>
  <si>
    <t>CUST1691</t>
  </si>
  <si>
    <t>ORD100885</t>
  </si>
  <si>
    <t>CUST9027</t>
  </si>
  <si>
    <t>Customer_153</t>
  </si>
  <si>
    <t>ORD100890</t>
  </si>
  <si>
    <t>CUST5136</t>
  </si>
  <si>
    <t>ORD100895</t>
  </si>
  <si>
    <t>CUST5762</t>
  </si>
  <si>
    <t>ORD100907</t>
  </si>
  <si>
    <t>CUST4977</t>
  </si>
  <si>
    <t>ORD100911</t>
  </si>
  <si>
    <t>CUST6309</t>
  </si>
  <si>
    <t>ORD100916</t>
  </si>
  <si>
    <t>CUST7186</t>
  </si>
  <si>
    <t>Customer_150</t>
  </si>
  <si>
    <t>ORD100929</t>
  </si>
  <si>
    <t>CUST7405</t>
  </si>
  <si>
    <t>ORD100932</t>
  </si>
  <si>
    <t>CUST4077</t>
  </si>
  <si>
    <t>ORD100944</t>
  </si>
  <si>
    <t>CUST3499</t>
  </si>
  <si>
    <t>ORD100954</t>
  </si>
  <si>
    <t>CUST9175</t>
  </si>
  <si>
    <t>ORD100956</t>
  </si>
  <si>
    <t>CUST9009</t>
  </si>
  <si>
    <t>Customer_424</t>
  </si>
  <si>
    <t>ORD100958</t>
  </si>
  <si>
    <t>CUST3759</t>
  </si>
  <si>
    <t>ORD100961</t>
  </si>
  <si>
    <t>CUST6311</t>
  </si>
  <si>
    <t>ORD100969</t>
  </si>
  <si>
    <t>CUST7757</t>
  </si>
  <si>
    <t>ORD100983</t>
  </si>
  <si>
    <t>CUST6511</t>
  </si>
  <si>
    <t>ORD100987</t>
  </si>
  <si>
    <t>CUST1603</t>
  </si>
  <si>
    <t>ORD100994</t>
  </si>
  <si>
    <t>CUST2967</t>
  </si>
  <si>
    <t>Customer_483</t>
  </si>
  <si>
    <t>ORD100995</t>
  </si>
  <si>
    <t>CUST9092</t>
  </si>
  <si>
    <t>ORD100008</t>
  </si>
  <si>
    <t>CUST1758</t>
  </si>
  <si>
    <t>Patna</t>
  </si>
  <si>
    <t>ORD100013</t>
  </si>
  <si>
    <t>CUST3228</t>
  </si>
  <si>
    <t>ORD100014</t>
  </si>
  <si>
    <t>CUST1038</t>
  </si>
  <si>
    <t>Customer_454</t>
  </si>
  <si>
    <t>ORD100015</t>
  </si>
  <si>
    <t>CUST6413</t>
  </si>
  <si>
    <t>Customer_490</t>
  </si>
  <si>
    <t>ORD100016</t>
  </si>
  <si>
    <t>CUST8660</t>
  </si>
  <si>
    <t>Customer_213</t>
  </si>
  <si>
    <t>ORD100025</t>
  </si>
  <si>
    <t>CUST8036</t>
  </si>
  <si>
    <t>ORD100029</t>
  </si>
  <si>
    <t>CUST6149</t>
  </si>
  <si>
    <t>ORD100044</t>
  </si>
  <si>
    <t>ORD100052</t>
  </si>
  <si>
    <t>CUST2062</t>
  </si>
  <si>
    <t>ORD100067</t>
  </si>
  <si>
    <t>CUST8841</t>
  </si>
  <si>
    <t>ORD100071</t>
  </si>
  <si>
    <t>CUST1808</t>
  </si>
  <si>
    <t>ORD100078</t>
  </si>
  <si>
    <t>CUST9846</t>
  </si>
  <si>
    <t>Customer_298</t>
  </si>
  <si>
    <t>ORD100100</t>
  </si>
  <si>
    <t>CUST7462</t>
  </si>
  <si>
    <t>Customer_379</t>
  </si>
  <si>
    <t>ORD100107</t>
  </si>
  <si>
    <t>CUST4881</t>
  </si>
  <si>
    <t>Customer_389</t>
  </si>
  <si>
    <t>ORD100109</t>
  </si>
  <si>
    <t>CUST2796</t>
  </si>
  <si>
    <t>Customer_471</t>
  </si>
  <si>
    <t>ORD100117</t>
  </si>
  <si>
    <t>CUST9354</t>
  </si>
  <si>
    <t>ORD100122</t>
  </si>
  <si>
    <t>CUST2286</t>
  </si>
  <si>
    <t>ORD100126</t>
  </si>
  <si>
    <t>CUST3677</t>
  </si>
  <si>
    <t>Customer_459</t>
  </si>
  <si>
    <t>ORD100127</t>
  </si>
  <si>
    <t>CUST6627</t>
  </si>
  <si>
    <t>ORD100130</t>
  </si>
  <si>
    <t>CUST2870</t>
  </si>
  <si>
    <t>ORD100131</t>
  </si>
  <si>
    <t>CUST4751</t>
  </si>
  <si>
    <t>Customer_260</t>
  </si>
  <si>
    <t>ORD100134</t>
  </si>
  <si>
    <t>CUST2863</t>
  </si>
  <si>
    <t>ORD100155</t>
  </si>
  <si>
    <t>CUST5211</t>
  </si>
  <si>
    <t>ORD100167</t>
  </si>
  <si>
    <t>CUST3714</t>
  </si>
  <si>
    <t>ORD100168</t>
  </si>
  <si>
    <t>CUST5036</t>
  </si>
  <si>
    <t>ORD100175</t>
  </si>
  <si>
    <t>CUST3564</t>
  </si>
  <si>
    <t>ORD100198</t>
  </si>
  <si>
    <t>CUST3417</t>
  </si>
  <si>
    <t>ORD100199</t>
  </si>
  <si>
    <t>CUST7187</t>
  </si>
  <si>
    <t>Customer_149</t>
  </si>
  <si>
    <t>ORD100201</t>
  </si>
  <si>
    <t>CUST2779</t>
  </si>
  <si>
    <t>ORD100202</t>
  </si>
  <si>
    <t>CUST6564</t>
  </si>
  <si>
    <t>ORD100212</t>
  </si>
  <si>
    <t>CUST7659</t>
  </si>
  <si>
    <t>ORD100228</t>
  </si>
  <si>
    <t>CUST5214</t>
  </si>
  <si>
    <t>Customer_142</t>
  </si>
  <si>
    <t>ORD100230</t>
  </si>
  <si>
    <t>CUST3668</t>
  </si>
  <si>
    <t>ORD100248</t>
  </si>
  <si>
    <t>CUST4629</t>
  </si>
  <si>
    <t>ORD100251</t>
  </si>
  <si>
    <t>CUST9047</t>
  </si>
  <si>
    <t>ORD100255</t>
  </si>
  <si>
    <t>CUST8067</t>
  </si>
  <si>
    <t>ORD100262</t>
  </si>
  <si>
    <t>CUST8686</t>
  </si>
  <si>
    <t>ORD100273</t>
  </si>
  <si>
    <t>ORD100274</t>
  </si>
  <si>
    <t>CUST4737</t>
  </si>
  <si>
    <t>ORD100275</t>
  </si>
  <si>
    <t>ORD100278</t>
  </si>
  <si>
    <t>CUST1636</t>
  </si>
  <si>
    <t>ORD100291</t>
  </si>
  <si>
    <t>CUST7152</t>
  </si>
  <si>
    <t>ORD100302</t>
  </si>
  <si>
    <t>CUST9552</t>
  </si>
  <si>
    <t>Customer_340</t>
  </si>
  <si>
    <t>ORD100303</t>
  </si>
  <si>
    <t>CUST3059</t>
  </si>
  <si>
    <t>ORD100305</t>
  </si>
  <si>
    <t>CUST1088</t>
  </si>
  <si>
    <t>ORD100306</t>
  </si>
  <si>
    <t>CUST8195</t>
  </si>
  <si>
    <t>ORD100307</t>
  </si>
  <si>
    <t>CUST1231</t>
  </si>
  <si>
    <t>ORD100309</t>
  </si>
  <si>
    <t>CUST7625</t>
  </si>
  <si>
    <t>ORD100319</t>
  </si>
  <si>
    <t>CUST5057</t>
  </si>
  <si>
    <t>ORD100329</t>
  </si>
  <si>
    <t>ORD100331</t>
  </si>
  <si>
    <t>ORD100344</t>
  </si>
  <si>
    <t>ORD100370</t>
  </si>
  <si>
    <t>CUST6142</t>
  </si>
  <si>
    <t>ORD100378</t>
  </si>
  <si>
    <t>CUST3607</t>
  </si>
  <si>
    <t>ORD100384</t>
  </si>
  <si>
    <t>CUST1481</t>
  </si>
  <si>
    <t>ORD100389</t>
  </si>
  <si>
    <t>CUST6180</t>
  </si>
  <si>
    <t>ORD100401</t>
  </si>
  <si>
    <t>CUST6037</t>
  </si>
  <si>
    <t>ORD100405</t>
  </si>
  <si>
    <t>CUST5778</t>
  </si>
  <si>
    <t>Customer_346</t>
  </si>
  <si>
    <t>ORD100406</t>
  </si>
  <si>
    <t>CUST1528</t>
  </si>
  <si>
    <t>ORD100412</t>
  </si>
  <si>
    <t>ORD100413</t>
  </si>
  <si>
    <t>CUST4703</t>
  </si>
  <si>
    <t>ORD100414</t>
  </si>
  <si>
    <t>CUST4598</t>
  </si>
  <si>
    <t>ORD100421</t>
  </si>
  <si>
    <t>CUST2956</t>
  </si>
  <si>
    <t>ORD100425</t>
  </si>
  <si>
    <t>CUST4284</t>
  </si>
  <si>
    <t>ORD100435</t>
  </si>
  <si>
    <t>CUST4849</t>
  </si>
  <si>
    <t>ORD100451</t>
  </si>
  <si>
    <t>CUST3773</t>
  </si>
  <si>
    <t>ORD100465</t>
  </si>
  <si>
    <t>CUST2680</t>
  </si>
  <si>
    <t>ORD100468</t>
  </si>
  <si>
    <t>CUST7564</t>
  </si>
  <si>
    <t>ORD100477</t>
  </si>
  <si>
    <t>CUST3024</t>
  </si>
  <si>
    <t>Customer_332</t>
  </si>
  <si>
    <t>ORD100486</t>
  </si>
  <si>
    <t>CUST4264</t>
  </si>
  <si>
    <t>ORD100487</t>
  </si>
  <si>
    <t>CUST8691</t>
  </si>
  <si>
    <t>Customer_252</t>
  </si>
  <si>
    <t>ORD100498</t>
  </si>
  <si>
    <t>CUST6862</t>
  </si>
  <si>
    <t>ORD100519</t>
  </si>
  <si>
    <t>CUST8947</t>
  </si>
  <si>
    <t>ORD100527</t>
  </si>
  <si>
    <t>CUST8200</t>
  </si>
  <si>
    <t>Customer_147</t>
  </si>
  <si>
    <t>ORD100533</t>
  </si>
  <si>
    <t>CUST1124</t>
  </si>
  <si>
    <t>ORD100542</t>
  </si>
  <si>
    <t>Customer_74</t>
  </si>
  <si>
    <t>ORD100543</t>
  </si>
  <si>
    <t>CUST2394</t>
  </si>
  <si>
    <t>ORD100547</t>
  </si>
  <si>
    <t>CUST4569</t>
  </si>
  <si>
    <t>Customer_238</t>
  </si>
  <si>
    <t>ORD100565</t>
  </si>
  <si>
    <t>CUST6748</t>
  </si>
  <si>
    <t>ORD100568</t>
  </si>
  <si>
    <t>CUST3316</t>
  </si>
  <si>
    <t>ORD100571</t>
  </si>
  <si>
    <t>CUST5206</t>
  </si>
  <si>
    <t>ORD100573</t>
  </si>
  <si>
    <t>CUST5791</t>
  </si>
  <si>
    <t>ORD100574</t>
  </si>
  <si>
    <t>CUST2343</t>
  </si>
  <si>
    <t>ORD100577</t>
  </si>
  <si>
    <t>CUST9181</t>
  </si>
  <si>
    <t>ORD100578</t>
  </si>
  <si>
    <t>CUST8098</t>
  </si>
  <si>
    <t>ORD100580</t>
  </si>
  <si>
    <t>CUST1094</t>
  </si>
  <si>
    <t>Customer_91</t>
  </si>
  <si>
    <t>ORD100585</t>
  </si>
  <si>
    <t>CUST8075</t>
  </si>
  <si>
    <t>ORD100605</t>
  </si>
  <si>
    <t>CUST4483</t>
  </si>
  <si>
    <t>Customer_109</t>
  </si>
  <si>
    <t>ORD100622</t>
  </si>
  <si>
    <t>CUST3497</t>
  </si>
  <si>
    <t>ORD100633</t>
  </si>
  <si>
    <t>CUST1994</t>
  </si>
  <si>
    <t>ORD100635</t>
  </si>
  <si>
    <t>ORD100637</t>
  </si>
  <si>
    <t>CUST1106</t>
  </si>
  <si>
    <t>Customer_135</t>
  </si>
  <si>
    <t>ORD100645</t>
  </si>
  <si>
    <t>CUST7844</t>
  </si>
  <si>
    <t>Customer_469</t>
  </si>
  <si>
    <t>ORD100648</t>
  </si>
  <si>
    <t>CUST6921</t>
  </si>
  <si>
    <t>ORD100707</t>
  </si>
  <si>
    <t>CUST6658</t>
  </si>
  <si>
    <t>ORD100716</t>
  </si>
  <si>
    <t>CUST6096</t>
  </si>
  <si>
    <t>ORD100721</t>
  </si>
  <si>
    <t>CUST7615</t>
  </si>
  <si>
    <t>ORD100728</t>
  </si>
  <si>
    <t>CUST8017</t>
  </si>
  <si>
    <t>ORD100745</t>
  </si>
  <si>
    <t>CUST5624</t>
  </si>
  <si>
    <t>ORD100747</t>
  </si>
  <si>
    <t>CUST9339</t>
  </si>
  <si>
    <t>ORD100752</t>
  </si>
  <si>
    <t>CUST2921</t>
  </si>
  <si>
    <t>ORD100756</t>
  </si>
  <si>
    <t>CUST1637</t>
  </si>
  <si>
    <t>ORD100766</t>
  </si>
  <si>
    <t>CUST6815</t>
  </si>
  <si>
    <t>ORD100774</t>
  </si>
  <si>
    <t>CUST5240</t>
  </si>
  <si>
    <t>ORD100777</t>
  </si>
  <si>
    <t>CUST3566</t>
  </si>
  <si>
    <t>Customer_430</t>
  </si>
  <si>
    <t>ORD100781</t>
  </si>
  <si>
    <t>CUST3542</t>
  </si>
  <si>
    <t>ORD100783</t>
  </si>
  <si>
    <t>CUST5419</t>
  </si>
  <si>
    <t>ORD100795</t>
  </si>
  <si>
    <t>CUST2551</t>
  </si>
  <si>
    <t>ORD100800</t>
  </si>
  <si>
    <t>CUST1618</t>
  </si>
  <si>
    <t>ORD100808</t>
  </si>
  <si>
    <t>CUST9514</t>
  </si>
  <si>
    <t>ORD100811</t>
  </si>
  <si>
    <t>CUST6719</t>
  </si>
  <si>
    <t>ORD100813</t>
  </si>
  <si>
    <t>CUST5851</t>
  </si>
  <si>
    <t>Customer_418</t>
  </si>
  <si>
    <t>ORD100817</t>
  </si>
  <si>
    <t>CUST6933</t>
  </si>
  <si>
    <t>ORD100831</t>
  </si>
  <si>
    <t>CUST8453</t>
  </si>
  <si>
    <t>ORD100836</t>
  </si>
  <si>
    <t>ORD100844</t>
  </si>
  <si>
    <t>CUST9804</t>
  </si>
  <si>
    <t>ORD100845</t>
  </si>
  <si>
    <t>CUST5876</t>
  </si>
  <si>
    <t>ORD100847</t>
  </si>
  <si>
    <t>CUST5432</t>
  </si>
  <si>
    <t>ORD100848</t>
  </si>
  <si>
    <t>CUST8575</t>
  </si>
  <si>
    <t>Customer_481</t>
  </si>
  <si>
    <t>ORD100855</t>
  </si>
  <si>
    <t>CUST3679</t>
  </si>
  <si>
    <t>ORD100861</t>
  </si>
  <si>
    <t>CUST9817</t>
  </si>
  <si>
    <t>ORD100865</t>
  </si>
  <si>
    <t>CUST2202</t>
  </si>
  <si>
    <t>ORD100872</t>
  </si>
  <si>
    <t>CUST2757</t>
  </si>
  <si>
    <t>ORD100891</t>
  </si>
  <si>
    <t>CUST8849</t>
  </si>
  <si>
    <t>ORD100896</t>
  </si>
  <si>
    <t>CUST1611</t>
  </si>
  <si>
    <t>ORD100897</t>
  </si>
  <si>
    <t>CUST1806</t>
  </si>
  <si>
    <t>ORD100898</t>
  </si>
  <si>
    <t>CUST4730</t>
  </si>
  <si>
    <t>ORD100903</t>
  </si>
  <si>
    <t>CUST3438</t>
  </si>
  <si>
    <t>ORD100913</t>
  </si>
  <si>
    <t>CUST5025</t>
  </si>
  <si>
    <t>ORD100918</t>
  </si>
  <si>
    <t>CUST1997</t>
  </si>
  <si>
    <t>ORD100937</t>
  </si>
  <si>
    <t>Customer_437</t>
  </si>
  <si>
    <t>ORD100976</t>
  </si>
  <si>
    <t>CUST5338</t>
  </si>
  <si>
    <t>ORD100984</t>
  </si>
  <si>
    <t>CUST2836</t>
  </si>
  <si>
    <t>ORD100990</t>
  </si>
  <si>
    <t>CUST2126</t>
  </si>
  <si>
    <t>ORD100993</t>
  </si>
  <si>
    <t>ORD100022</t>
  </si>
  <si>
    <t>CUST8908</t>
  </si>
  <si>
    <t>Pune</t>
  </si>
  <si>
    <t>ORD100026</t>
  </si>
  <si>
    <t>CUST5523</t>
  </si>
  <si>
    <t>ORD100055</t>
  </si>
  <si>
    <t>CUST1017</t>
  </si>
  <si>
    <t>Customer_387</t>
  </si>
  <si>
    <t>ORD100061</t>
  </si>
  <si>
    <t>CUST2350</t>
  </si>
  <si>
    <t>ORD100074</t>
  </si>
  <si>
    <t>CUST7587</t>
  </si>
  <si>
    <t>ORD100093</t>
  </si>
  <si>
    <t>CUST6618</t>
  </si>
  <si>
    <t>Customer_311</t>
  </si>
  <si>
    <t>ORD100101</t>
  </si>
  <si>
    <t>CUST7588</t>
  </si>
  <si>
    <t>ORD100108</t>
  </si>
  <si>
    <t>CUST6707</t>
  </si>
  <si>
    <t>ORD100138</t>
  </si>
  <si>
    <t>CUST6791</t>
  </si>
  <si>
    <t>ORD100156</t>
  </si>
  <si>
    <t>CUST2236</t>
  </si>
  <si>
    <t>ORD100177</t>
  </si>
  <si>
    <t>CUST3602</t>
  </si>
  <si>
    <t>ORD100178</t>
  </si>
  <si>
    <t>CUST9812</t>
  </si>
  <si>
    <t>ORD100183</t>
  </si>
  <si>
    <t>ORD100194</t>
  </si>
  <si>
    <t>CUST6821</t>
  </si>
  <si>
    <t>ORD100195</t>
  </si>
  <si>
    <t>CUST6228</t>
  </si>
  <si>
    <t>ORD100226</t>
  </si>
  <si>
    <t>CUST9319</t>
  </si>
  <si>
    <t>ORD100229</t>
  </si>
  <si>
    <t>CUST3618</t>
  </si>
  <si>
    <t>ORD100241</t>
  </si>
  <si>
    <t>CUST1197</t>
  </si>
  <si>
    <t>Customer_419</t>
  </si>
  <si>
    <t>ORD100256</t>
  </si>
  <si>
    <t>CUST3080</t>
  </si>
  <si>
    <t>ORD100258</t>
  </si>
  <si>
    <t>CUST7801</t>
  </si>
  <si>
    <t>ORD100259</t>
  </si>
  <si>
    <t>CUST4686</t>
  </si>
  <si>
    <t>Customer_473</t>
  </si>
  <si>
    <t>ORD100269</t>
  </si>
  <si>
    <t>CUST1662</t>
  </si>
  <si>
    <t>ORD100271</t>
  </si>
  <si>
    <t>ORD100272</t>
  </si>
  <si>
    <t>CUST6173</t>
  </si>
  <si>
    <t>ORD100298</t>
  </si>
  <si>
    <t>CUST6538</t>
  </si>
  <si>
    <t>ORD100316</t>
  </si>
  <si>
    <t>CUST8229</t>
  </si>
  <si>
    <t>ORD100333</t>
  </si>
  <si>
    <t>ORD100337</t>
  </si>
  <si>
    <t>CUST5249</t>
  </si>
  <si>
    <t>ORD100340</t>
  </si>
  <si>
    <t>CUST8154</t>
  </si>
  <si>
    <t>ORD100343</t>
  </si>
  <si>
    <t>CUST9253</t>
  </si>
  <si>
    <t>ORD100350</t>
  </si>
  <si>
    <t>CUST9709</t>
  </si>
  <si>
    <t>CUST6467</t>
  </si>
  <si>
    <t>ORD100362</t>
  </si>
  <si>
    <t>CUST3281</t>
  </si>
  <si>
    <t>ORD100363</t>
  </si>
  <si>
    <t>CUST9724</t>
  </si>
  <si>
    <t>Customer_220</t>
  </si>
  <si>
    <t>ORD100379</t>
  </si>
  <si>
    <t>CUST1032</t>
  </si>
  <si>
    <t>ORD100381</t>
  </si>
  <si>
    <t>CUST4482</t>
  </si>
  <si>
    <t>ORD100394</t>
  </si>
  <si>
    <t>CUST5569</t>
  </si>
  <si>
    <t>ORD100410</t>
  </si>
  <si>
    <t>CUST3440</t>
  </si>
  <si>
    <t>Customer_28</t>
  </si>
  <si>
    <t>ORD100424</t>
  </si>
  <si>
    <t>CUST6655</t>
  </si>
  <si>
    <t>ORD100437</t>
  </si>
  <si>
    <t>CUST3459</t>
  </si>
  <si>
    <t>ORD100441</t>
  </si>
  <si>
    <t>CUST9619</t>
  </si>
  <si>
    <t>ORD100453</t>
  </si>
  <si>
    <t>CUST1189</t>
  </si>
  <si>
    <t>ORD100456</t>
  </si>
  <si>
    <t>CUST6806</t>
  </si>
  <si>
    <t>ORD100461</t>
  </si>
  <si>
    <t>CUST5702</t>
  </si>
  <si>
    <t>Customer_381</t>
  </si>
  <si>
    <t>ORD100475</t>
  </si>
  <si>
    <t>CUST4758</t>
  </si>
  <si>
    <t>ORD100504</t>
  </si>
  <si>
    <t>CUST6258</t>
  </si>
  <si>
    <t>ORD100528</t>
  </si>
  <si>
    <t>CUST5010</t>
  </si>
  <si>
    <t>Customer_46</t>
  </si>
  <si>
    <t>ORD100538</t>
  </si>
  <si>
    <t>CUST5133</t>
  </si>
  <si>
    <t>Customer_86</t>
  </si>
  <si>
    <t>ORD100545</t>
  </si>
  <si>
    <t>Customer_21</t>
  </si>
  <si>
    <t>ORD100548</t>
  </si>
  <si>
    <t>ORD100550</t>
  </si>
  <si>
    <t>CUST5244</t>
  </si>
  <si>
    <t>ORD100575</t>
  </si>
  <si>
    <t>CUST6654</t>
  </si>
  <si>
    <t>ORD100582</t>
  </si>
  <si>
    <t>ORD100589</t>
  </si>
  <si>
    <t>CUST8513</t>
  </si>
  <si>
    <t>ORD100595</t>
  </si>
  <si>
    <t>CUST3537</t>
  </si>
  <si>
    <t>ORD100618</t>
  </si>
  <si>
    <t>CUST8124</t>
  </si>
  <si>
    <t>ORD100632</t>
  </si>
  <si>
    <t>CUST1252</t>
  </si>
  <si>
    <t>ORD100634</t>
  </si>
  <si>
    <t>CUST9488</t>
  </si>
  <si>
    <t>ORD100639</t>
  </si>
  <si>
    <t>CUST3004</t>
  </si>
  <si>
    <t>ORD100647</t>
  </si>
  <si>
    <t>CUST7504</t>
  </si>
  <si>
    <t>ORD100652</t>
  </si>
  <si>
    <t>CUST7219</t>
  </si>
  <si>
    <t>ORD100658</t>
  </si>
  <si>
    <t>CUST4584</t>
  </si>
  <si>
    <t>ORD100664</t>
  </si>
  <si>
    <t>CUST7016</t>
  </si>
  <si>
    <t>Customer_88</t>
  </si>
  <si>
    <t>ORD100665</t>
  </si>
  <si>
    <t>CUST2672</t>
  </si>
  <si>
    <t>ORD100688</t>
  </si>
  <si>
    <t>CUST9957</t>
  </si>
  <si>
    <t>ORD100695</t>
  </si>
  <si>
    <t>CUST4602</t>
  </si>
  <si>
    <t>ORD100697</t>
  </si>
  <si>
    <t>ORD100699</t>
  </si>
  <si>
    <t>CUST2644</t>
  </si>
  <si>
    <t>ORD100718</t>
  </si>
  <si>
    <t>CUST4532</t>
  </si>
  <si>
    <t>ORD100719</t>
  </si>
  <si>
    <t>CUST6697</t>
  </si>
  <si>
    <t>ORD100726</t>
  </si>
  <si>
    <t>CUST8338</t>
  </si>
  <si>
    <t>ORD100733</t>
  </si>
  <si>
    <t>CUST2832</t>
  </si>
  <si>
    <t>ORD100742</t>
  </si>
  <si>
    <t>CUST4103</t>
  </si>
  <si>
    <t>ORD100744</t>
  </si>
  <si>
    <t>ORD100746</t>
  </si>
  <si>
    <t>CUST9518</t>
  </si>
  <si>
    <t>ORD100751</t>
  </si>
  <si>
    <t>CUST8058</t>
  </si>
  <si>
    <t>ORD100769</t>
  </si>
  <si>
    <t>CUST7600</t>
  </si>
  <si>
    <t>ORD100784</t>
  </si>
  <si>
    <t>CUST6571</t>
  </si>
  <si>
    <t>ORD100854</t>
  </si>
  <si>
    <t>CUST7787</t>
  </si>
  <si>
    <t>ORD100864</t>
  </si>
  <si>
    <t>CUST3327</t>
  </si>
  <si>
    <t>ORD100868</t>
  </si>
  <si>
    <t>CUST4888</t>
  </si>
  <si>
    <t>ORD100871</t>
  </si>
  <si>
    <t>CUST1442</t>
  </si>
  <si>
    <t>ORD100886</t>
  </si>
  <si>
    <t>CUST1396</t>
  </si>
  <si>
    <t>Customer_479</t>
  </si>
  <si>
    <t>ORD100887</t>
  </si>
  <si>
    <t>CUST9132</t>
  </si>
  <si>
    <t>Customer_210</t>
  </si>
  <si>
    <t>ORD100889</t>
  </si>
  <si>
    <t>CUST3987</t>
  </si>
  <si>
    <t>ORD100893</t>
  </si>
  <si>
    <t>CUST4073</t>
  </si>
  <si>
    <t>ORD100899</t>
  </si>
  <si>
    <t>CUST7164</t>
  </si>
  <si>
    <t>ORD100914</t>
  </si>
  <si>
    <t>ORD100917</t>
  </si>
  <si>
    <t>CUST2804</t>
  </si>
  <si>
    <t>ORD100919</t>
  </si>
  <si>
    <t>CUST7609</t>
  </si>
  <si>
    <t>ORD100938</t>
  </si>
  <si>
    <t>ORD100943</t>
  </si>
  <si>
    <t>CUST2586</t>
  </si>
  <si>
    <t>ORD100950</t>
  </si>
  <si>
    <t>CUST6316</t>
  </si>
  <si>
    <t>ORD100951</t>
  </si>
  <si>
    <t>CUST2403</t>
  </si>
  <si>
    <t>ORD100965</t>
  </si>
  <si>
    <t>CUST5726</t>
  </si>
  <si>
    <t>ORD100980</t>
  </si>
  <si>
    <t>CUST1159</t>
  </si>
  <si>
    <t>ORD100988</t>
  </si>
  <si>
    <t>CUST9871</t>
  </si>
  <si>
    <t>ORD100996</t>
  </si>
  <si>
    <t>CUST9351</t>
  </si>
  <si>
    <t>ORD100075</t>
  </si>
  <si>
    <t>CUST2157</t>
  </si>
  <si>
    <t>ORD100150</t>
  </si>
  <si>
    <t>CUST4132</t>
  </si>
  <si>
    <t>ORD100225</t>
  </si>
  <si>
    <t>CUST1443</t>
  </si>
  <si>
    <t>ORD100300</t>
  </si>
  <si>
    <t>CUST7944</t>
  </si>
  <si>
    <t>Customer_282</t>
  </si>
  <si>
    <t>ORD100375</t>
  </si>
  <si>
    <t>CUST5835</t>
  </si>
  <si>
    <t>ORD100450</t>
  </si>
  <si>
    <t>CUST6714</t>
  </si>
  <si>
    <t>ORD100525</t>
  </si>
  <si>
    <t>CUST1090</t>
  </si>
  <si>
    <t>CUST8859</t>
  </si>
  <si>
    <t>ORD100675</t>
  </si>
  <si>
    <t>CUST8502</t>
  </si>
  <si>
    <t>ORD100750</t>
  </si>
  <si>
    <t>ORD100825</t>
  </si>
  <si>
    <t>CUST9718</t>
  </si>
  <si>
    <t>ORD100900</t>
  </si>
  <si>
    <t>CUST3867</t>
  </si>
  <si>
    <t>Customer_54</t>
  </si>
  <si>
    <t>ORD100975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</si>
</sst>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&quot;-&quot;mm&quot;-&quot;dd"/>
    <numFmt numFmtId="165" formatCode="[$₹]#,##0.00"/>
    <numFmt numFmtId="166" formatCode="[$$]#,##0.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1.0"/>
      <color rgb="FF198639"/>
      <name val="Inconsolat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2" numFmtId="166" xfId="0" applyAlignment="1" applyFont="1" applyNumberFormat="1">
      <alignment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2" numFmtId="0" xfId="0" applyFont="1"/>
    <xf borderId="0" fillId="0" fontId="2" numFmtId="166" xfId="0" applyFont="1" applyNumberFormat="1"/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D9D2E9"/>
          <bgColor rgb="FFD9D2E9"/>
        </patternFill>
      </fill>
      <border/>
    </dxf>
  </dxfs>
  <tableStyles count="1">
    <tableStyle count="4" pivot="0" name="Sales_Datase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1001" sheet="Sales_Dataset"/>
  </cacheSource>
  <cacheFields>
    <cacheField name="Order_ID" numFmtId="0">
      <sharedItems>
        <s v="ORD100002"/>
        <s v="ORD100003"/>
        <s v="ORD100004"/>
        <s v="ORD100006"/>
        <s v="ORD100030"/>
        <s v="ORD100037"/>
        <s v="ORD100040"/>
        <s v="ORD100045"/>
        <s v="ORD100057"/>
        <s v="ORD100058"/>
        <s v="ORD100059"/>
        <s v="ORD100077"/>
        <s v="ORD100095"/>
        <s v="ORD100115"/>
        <s v="ORD100133"/>
        <s v="ORD100139"/>
        <s v="ORD100147"/>
        <s v="ORD100149"/>
        <s v="ORD100157"/>
        <s v="ORD100161"/>
        <s v="ORD100164"/>
        <s v="ORD100169"/>
        <s v="ORD100170"/>
        <s v="ORD100171"/>
        <s v="ORD100189"/>
        <s v="ORD100211"/>
        <s v="ORD100222"/>
        <s v="ORD100223"/>
        <s v="ORD100234"/>
        <s v="ORD100235"/>
        <s v="ORD100237"/>
        <s v="ORD100050"/>
        <s v="ORD100243"/>
        <s v="ORD100245"/>
        <s v="ORD100247"/>
        <s v="ORD100257"/>
        <s v="ORD100264"/>
        <s v="ORD100267"/>
        <s v="ORD100268"/>
        <s v="ORD100277"/>
        <s v="ORD100280"/>
        <s v="ORD100295"/>
        <s v="ORD100314"/>
        <s v="ORD100326"/>
        <s v="ORD100328"/>
        <s v="ORD100341"/>
        <s v="ORD100346"/>
        <s v="ORD100349"/>
        <s v="ORD100351"/>
        <s v="ORD100353"/>
        <s v="ORD100364"/>
        <s v="ORD100366"/>
        <s v="ORD100368"/>
        <s v="ORD100369"/>
        <s v="ORD100374"/>
        <s v="ORD100377"/>
        <s v="ORD100392"/>
        <s v="ORD100395"/>
        <s v="ORD100398"/>
        <s v="ORD100399"/>
        <s v="ORD100409"/>
        <s v="ORD100417"/>
        <s v="ORD100419"/>
        <s v="ORD100439"/>
        <s v="ORD100457"/>
        <s v="ORD100472"/>
        <s v="ORD100481"/>
        <s v="ORD100514"/>
        <s v="ORD100524"/>
        <s v="ORD100536"/>
        <s v="ORD100551"/>
        <s v="ORD100553"/>
        <s v="ORD100563"/>
        <s v="ORD100566"/>
        <s v="ORD100602"/>
        <s v="ORD100616"/>
        <s v="ORD100630"/>
        <s v="ORD100638"/>
        <s v="ORD100650"/>
        <s v="ORD100656"/>
        <s v="ORD100661"/>
        <s v="ORD100668"/>
        <s v="ORD100669"/>
        <s v="ORD100670"/>
        <s v="ORD100679"/>
        <s v="ORD100684"/>
        <s v="ORD100709"/>
        <s v="ORD100713"/>
        <s v="ORD100717"/>
        <s v="ORD100735"/>
        <s v="ORD100764"/>
        <s v="ORD100768"/>
        <s v="ORD100770"/>
        <s v="ORD100775"/>
        <s v="ORD100786"/>
        <s v="ORD100792"/>
        <s v="ORD100794"/>
        <s v="ORD100797"/>
        <s v="ORD100805"/>
        <s v="ORD100809"/>
        <s v="ORD100820"/>
        <s v="ORD100823"/>
        <s v="ORD100826"/>
        <s v="ORD100849"/>
        <s v="ORD100856"/>
        <s v="ORD100859"/>
        <s v="ORD100867"/>
        <s v="ORD100877"/>
        <s v="ORD100901"/>
        <s v="ORD100920"/>
        <s v="ORD100924"/>
        <s v="ORD100928"/>
        <s v="ORD100931"/>
        <s v="ORD100939"/>
        <s v="ORD100948"/>
        <s v="ORD100964"/>
        <s v="ORD100967"/>
        <s v="ORD100970"/>
        <s v="ORD100982"/>
        <s v="ORD100991"/>
        <s v="ORD100012"/>
        <s v="ORD100017"/>
        <s v="ORD100018"/>
        <s v="ORD100038"/>
        <s v="ORD100048"/>
        <s v="ORD100053"/>
        <s v="ORD100054"/>
        <s v="ORD100056"/>
        <s v="ORD100068"/>
        <s v="ORD100070"/>
        <s v="ORD100079"/>
        <s v="ORD100085"/>
        <s v="ORD100089"/>
        <s v="ORD100094"/>
        <s v="ORD100113"/>
        <s v="ORD100118"/>
        <s v="ORD100135"/>
        <s v="ORD100148"/>
        <s v="ORD100181"/>
        <s v="ORD100188"/>
        <s v="ORD100190"/>
        <s v="ORD100191"/>
        <s v="ORD100197"/>
        <s v="ORD100214"/>
        <s v="ORD100216"/>
        <s v="ORD100217"/>
        <s v="ORD100250"/>
        <s v="ORD100281"/>
        <s v="ORD100282"/>
        <s v="ORD100287"/>
        <s v="ORD100288"/>
        <s v="ORD100299"/>
        <s v="ORD100310"/>
        <s v="ORD100315"/>
        <s v="ORD100323"/>
        <s v="ORD100325"/>
        <s v="ORD100330"/>
        <s v="ORD100338"/>
        <s v="ORD100347"/>
        <s v="ORD100348"/>
        <s v="ORD100359"/>
        <s v="ORD100361"/>
        <s v="ORD100376"/>
        <s v="ORD100383"/>
        <s v="ORD100385"/>
        <s v="ORD100386"/>
        <s v="ORD100390"/>
        <s v="ORD100404"/>
        <s v="ORD100420"/>
        <s v="ORD100428"/>
        <s v="ORD100431"/>
        <s v="ORD100432"/>
        <s v="ORD100434"/>
        <s v="ORD100442"/>
        <s v="ORD100444"/>
        <s v="ORD100454"/>
        <s v="ORD100459"/>
        <s v="ORD100460"/>
        <s v="ORD100463"/>
        <s v="ORD100469"/>
        <s v="ORD100471"/>
        <s v="ORD100492"/>
        <s v="ORD100494"/>
        <s v="ORD100499"/>
        <s v="ORD100502"/>
        <s v="ORD100511"/>
        <s v="ORD100515"/>
        <s v="ORD100516"/>
        <s v="ORD100532"/>
        <s v="ORD100535"/>
        <s v="ORD100558"/>
        <s v="ORD100559"/>
        <s v="ORD100562"/>
        <s v="ORD100572"/>
        <s v="ORD100579"/>
        <s v="ORD100583"/>
        <s v="ORD100591"/>
        <s v="ORD100596"/>
        <s v="ORD100598"/>
        <s v="ORD100611"/>
        <s v="ORD100614"/>
        <s v="ORD100615"/>
        <s v="ORD100628"/>
        <s v="ORD100641"/>
        <s v="ORD100646"/>
        <s v="ORD100649"/>
        <s v="ORD100657"/>
        <s v="ORD100671"/>
        <s v="ORD100673"/>
        <s v="ORD100698"/>
        <s v="ORD100706"/>
        <s v="ORD100722"/>
        <s v="ORD100723"/>
        <s v="ORD100724"/>
        <s v="ORD100740"/>
        <s v="ORD100755"/>
        <s v="ORD100761"/>
        <s v="ORD100771"/>
        <s v="ORD100804"/>
        <s v="ORD100815"/>
        <s v="ORD100829"/>
        <s v="ORD100842"/>
        <s v="ORD100853"/>
        <s v="ORD100858"/>
        <s v="ORD100863"/>
        <s v="ORD100869"/>
        <s v="ORD100875"/>
        <s v="ORD100883"/>
        <s v="ORD100888"/>
        <s v="ORD100892"/>
        <s v="ORD100902"/>
        <s v="ORD100905"/>
        <s v="ORD100909"/>
        <s v="ORD100921"/>
        <s v="ORD100925"/>
        <s v="ORD100926"/>
        <s v="ORD100930"/>
        <s v="ORD100935"/>
        <s v="ORD100945"/>
        <s v="ORD100952"/>
        <s v="ORD100966"/>
        <s v="ORD100968"/>
        <s v="ORD100972"/>
        <s v="ORD100977"/>
        <s v="ORD101000"/>
        <s v="ORD100019"/>
        <s v="ORD100024"/>
        <s v="ORD100031"/>
        <s v="ORD100035"/>
        <s v="ORD100036"/>
        <s v="ORD100065"/>
        <s v="ORD100073"/>
        <s v="ORD100076"/>
        <s v="ORD100080"/>
        <s v="ORD100081"/>
        <s v="ORD100084"/>
        <s v="ORD100099"/>
        <s v="ORD100104"/>
        <s v="ORD100105"/>
        <s v="ORD100112"/>
        <s v="ORD100121"/>
        <s v="ORD100128"/>
        <s v="ORD100129"/>
        <s v="ORD100132"/>
        <s v="ORD100141"/>
        <s v="ORD100143"/>
        <s v="ORD100145"/>
        <s v="ORD100146"/>
        <s v="ORD100152"/>
        <s v="ORD100158"/>
        <s v="ORD100174"/>
        <s v="ORD100179"/>
        <s v="ORD100182"/>
        <s v="ORD100186"/>
        <s v="ORD100187"/>
        <s v="ORD100207"/>
        <s v="ORD100232"/>
        <s v="ORD100261"/>
        <s v="ORD100266"/>
        <s v="ORD100279"/>
        <s v="ORD100292"/>
        <s v="ORD100304"/>
        <s v="ORD100327"/>
        <s v="ORD100345"/>
        <s v="ORD100355"/>
        <s v="ORD100357"/>
        <s v="ORD100365"/>
        <s v="ORD100367"/>
        <s v="ORD100397"/>
        <s v="ORD100403"/>
        <s v="ORD100415"/>
        <s v="ORD100416"/>
        <s v="ORD100423"/>
        <s v="ORD100426"/>
        <s v="ORD100427"/>
        <s v="ORD100436"/>
        <s v="ORD100440"/>
        <s v="ORD100447"/>
        <s v="ORD100448"/>
        <s v="ORD100449"/>
        <s v="ORD100452"/>
        <s v="ORD100470"/>
        <s v="ORD100476"/>
        <s v="ORD100485"/>
        <s v="ORD100488"/>
        <s v="ORD100493"/>
        <s v="ORD100495"/>
        <s v="ORD100496"/>
        <s v="ORD100506"/>
        <s v="ORD100522"/>
        <s v="ORD100523"/>
        <s v="ORD100530"/>
        <s v="ORD100531"/>
        <s v="ORD100539"/>
        <s v="ORD100541"/>
        <s v="ORD100544"/>
        <s v="ORD100555"/>
        <s v="ORD100586"/>
        <s v="ORD100603"/>
        <s v="ORD100604"/>
        <s v="ORD100609"/>
        <s v="ORD100621"/>
        <s v="ORD100626"/>
        <s v="ORD100640"/>
        <s v="ORD100659"/>
        <s v="ORD100663"/>
        <s v="ORD100672"/>
        <s v="ORD100696"/>
        <s v="ORD100701"/>
        <s v="ORD100703"/>
        <s v="ORD100704"/>
        <s v="ORD100711"/>
        <s v="ORD100731"/>
        <s v="ORD100734"/>
        <s v="ORD100736"/>
        <s v="ORD100743"/>
        <s v="ORD100748"/>
        <s v="ORD100763"/>
        <s v="ORD100776"/>
        <s v="ORD100787"/>
        <s v="ORD100801"/>
        <s v="ORD100806"/>
        <s v="ORD100822"/>
        <s v="ORD100824"/>
        <s v="ORD100828"/>
        <s v="ORD100834"/>
        <s v="ORD100835"/>
        <s v="ORD100851"/>
        <s v="ORD100862"/>
        <s v="ORD100881"/>
        <s v="ORD100904"/>
        <s v="ORD100912"/>
        <s v="ORD100923"/>
        <s v="ORD100941"/>
        <s v="ORD100962"/>
        <s v="ORD100963"/>
        <s v="ORD100971"/>
        <s v="ORD100985"/>
        <s v="ORD100989"/>
        <s v="ORD100997"/>
        <s v="ORD100998"/>
        <s v="ORD101001"/>
        <s v="ORD100007"/>
        <s v="ORD100042"/>
        <s v="ORD100046"/>
        <s v="ORD100064"/>
        <s v="ORD100069"/>
        <s v="ORD100072"/>
        <s v="ORD100082"/>
        <s v="ORD100083"/>
        <s v="ORD100086"/>
        <s v="ORD100090"/>
        <s v="ORD100096"/>
        <s v="ORD100098"/>
        <s v="ORD100110"/>
        <s v="ORD100114"/>
        <s v="ORD100116"/>
        <s v="ORD100119"/>
        <s v="ORD100123"/>
        <s v="ORD100124"/>
        <s v="ORD100125"/>
        <s v="ORD100140"/>
        <s v="ORD100160"/>
        <s v="ORD100165"/>
        <s v="ORD100166"/>
        <s v="ORD100173"/>
        <s v="ORD100185"/>
        <s v="ORD100193"/>
        <s v="ORD100203"/>
        <s v="ORD100206"/>
        <s v="ORD100210"/>
        <s v="ORD100215"/>
        <s v="ORD100219"/>
        <s v="ORD100220"/>
        <s v="ORD100221"/>
        <s v="ORD100227"/>
        <s v="ORD100239"/>
        <s v="ORD100242"/>
        <s v="ORD100246"/>
        <s v="ORD100249"/>
        <s v="ORD100252"/>
        <s v="ORD100260"/>
        <s v="ORD100263"/>
        <s v="ORD100265"/>
        <s v="ORD100285"/>
        <s v="ORD100286"/>
        <s v="ORD100294"/>
        <s v="ORD100296"/>
        <s v="ORD100311"/>
        <s v="ORD100312"/>
        <s v="ORD100313"/>
        <s v="ORD100317"/>
        <s v="ORD100324"/>
        <s v="ORD100356"/>
        <s v="ORD100388"/>
        <s v="ORD100393"/>
        <s v="ORD100400"/>
        <s v="ORD100408"/>
        <s v="ORD100422"/>
        <s v="ORD100429"/>
        <s v="ORD100458"/>
        <s v="ORD100464"/>
        <s v="ORD100479"/>
        <s v="ORD100484"/>
        <s v="ORD100490"/>
        <s v="ORD100491"/>
        <s v="ORD100503"/>
        <s v="ORD100505"/>
        <s v="ORD100520"/>
        <s v="ORD100521"/>
        <s v="ORD100549"/>
        <s v="ORD100556"/>
        <s v="ORD100557"/>
        <s v="ORD100564"/>
        <s v="ORD100570"/>
        <s v="ORD100588"/>
        <s v="ORD100608"/>
        <s v="ORD100623"/>
        <s v="ORD100624"/>
        <s v="ORD100627"/>
        <s v="ORD100631"/>
        <s v="ORD100655"/>
        <s v="ORD100662"/>
        <s v="ORD100677"/>
        <s v="ORD100678"/>
        <s v="ORD100681"/>
        <s v="ORD100683"/>
        <s v="ORD100686"/>
        <s v="ORD100710"/>
        <s v="ORD100712"/>
        <s v="ORD100732"/>
        <s v="ORD100739"/>
        <s v="ORD100753"/>
        <s v="ORD100758"/>
        <s v="ORD100760"/>
        <s v="ORD100767"/>
        <s v="ORD100773"/>
        <s v="ORD100778"/>
        <s v="ORD100779"/>
        <s v="ORD100810"/>
        <s v="ORD100814"/>
        <s v="ORD100818"/>
        <s v="ORD100839"/>
        <s v="ORD100843"/>
        <s v="ORD100866"/>
        <s v="ORD100874"/>
        <s v="ORD100879"/>
        <s v="ORD100882"/>
        <s v="ORD100894"/>
        <s v="ORD100906"/>
        <s v="ORD100908"/>
        <s v="ORD100910"/>
        <s v="ORD100915"/>
        <s v="ORD100922"/>
        <s v="ORD100933"/>
        <s v="ORD100940"/>
        <s v="ORD100942"/>
        <s v="ORD100946"/>
        <s v="ORD100947"/>
        <s v="ORD100955"/>
        <s v="ORD100957"/>
        <s v="ORD100973"/>
        <s v="ORD100978"/>
        <s v="ORD100979"/>
        <s v="ORD100981"/>
        <s v="ORD100986"/>
        <s v="ORD100999"/>
        <s v="ORD100005"/>
        <s v="ORD100009"/>
        <s v="ORD100011"/>
        <s v="ORD100021"/>
        <s v="ORD100039"/>
        <s v="ORD100043"/>
        <s v="ORD100049"/>
        <s v="ORD100063"/>
        <s v="ORD100066"/>
        <s v="ORD100088"/>
        <s v="ORD100092"/>
        <s v="ORD100102"/>
        <s v="ORD100111"/>
        <s v="ORD100142"/>
        <s v="ORD100144"/>
        <s v="ORD100159"/>
        <s v="ORD100162"/>
        <s v="ORD100180"/>
        <s v="ORD100184"/>
        <s v="ORD100192"/>
        <s v="ORD100200"/>
        <s v="ORD100205"/>
        <s v="ORD100208"/>
        <s v="ORD100209"/>
        <s v="ORD100218"/>
        <s v="ORD100238"/>
        <s v="ORD100253"/>
        <s v="ORD100254"/>
        <s v="ORD100270"/>
        <s v="ORD100283"/>
        <s v="ORD100289"/>
        <s v="ORD100293"/>
        <s v="ORD100301"/>
        <s v="ORD100308"/>
        <s v="ORD100318"/>
        <s v="ORD100322"/>
        <s v="ORD100332"/>
        <s v="ORD100335"/>
        <s v="ORD100358"/>
        <s v="ORD100371"/>
        <s v="ORD100380"/>
        <s v="ORD100382"/>
        <s v="ORD100387"/>
        <s v="ORD100391"/>
        <s v="ORD100411"/>
        <s v="ORD100418"/>
        <s v="ORD100433"/>
        <s v="ORD100445"/>
        <s v="ORD100446"/>
        <s v="ORD100462"/>
        <s v="ORD100466"/>
        <s v="ORD100467"/>
        <s v="ORD100482"/>
        <s v="ORD100483"/>
        <s v="ORD100489"/>
        <s v="ORD100497"/>
        <s v="ORD100500"/>
        <s v="ORD100507"/>
        <s v="ORD100509"/>
        <s v="ORD100518"/>
        <s v="ORD100552"/>
        <s v="ORD100560"/>
        <s v="ORD100561"/>
        <s v="ORD100569"/>
        <s v="ORD100576"/>
        <s v="ORD100581"/>
        <s v="ORD100587"/>
        <s v="ORD100593"/>
        <s v="ORD100599"/>
        <s v="ORD100601"/>
        <s v="ORD100606"/>
        <s v="ORD100610"/>
        <s v="ORD100612"/>
        <s v="ORD100617"/>
        <s v="ORD100619"/>
        <s v="ORD100620"/>
        <s v="ORD100636"/>
        <s v="ORD100644"/>
        <s v="ORD100651"/>
        <s v="ORD100653"/>
        <s v="ORD100666"/>
        <s v="ORD100674"/>
        <s v="ORD100689"/>
        <s v="ORD100690"/>
        <s v="ORD100691"/>
        <s v="ORD100693"/>
        <s v="ORD100702"/>
        <s v="ORD100708"/>
        <s v="ORD100714"/>
        <s v="ORD100715"/>
        <s v="ORD100725"/>
        <s v="ORD100727"/>
        <s v="ORD100729"/>
        <s v="ORD100730"/>
        <s v="ORD100737"/>
        <s v="ORD100738"/>
        <s v="ORD100741"/>
        <s v="ORD100749"/>
        <s v="ORD100754"/>
        <s v="ORD100757"/>
        <s v="ORD100759"/>
        <s v="ORD100762"/>
        <s v="ORD100772"/>
        <s v="ORD100782"/>
        <s v="ORD100785"/>
        <s v="ORD100788"/>
        <s v="ORD100789"/>
        <s v="ORD100793"/>
        <s v="ORD100798"/>
        <s v="ORD100803"/>
        <s v="ORD100807"/>
        <s v="ORD100816"/>
        <s v="ORD100819"/>
        <s v="ORD100830"/>
        <s v="ORD100832"/>
        <s v="ORD100833"/>
        <s v="ORD100837"/>
        <s v="ORD100846"/>
        <s v="ORD100850"/>
        <s v="ORD100857"/>
        <s v="ORD100860"/>
        <s v="ORD100870"/>
        <s v="ORD100884"/>
        <s v="ORD100927"/>
        <s v="ORD100934"/>
        <s v="ORD100936"/>
        <s v="ORD100949"/>
        <s v="ORD100953"/>
        <s v="ORD100959"/>
        <s v="ORD100974"/>
        <s v="ORD100992"/>
        <s v="ORD100010"/>
        <s v="ORD100020"/>
        <s v="ORD100023"/>
        <s v="ORD100027"/>
        <s v="ORD100028"/>
        <s v="ORD100032"/>
        <s v="ORD100033"/>
        <s v="ORD100034"/>
        <s v="ORD100041"/>
        <s v="ORD100047"/>
        <s v="ORD100051"/>
        <s v="ORD100060"/>
        <s v="ORD100062"/>
        <s v="ORD100087"/>
        <s v="ORD100091"/>
        <s v="ORD100097"/>
        <s v="ORD100103"/>
        <s v="ORD100106"/>
        <s v="ORD100136"/>
        <s v="ORD100137"/>
        <s v="ORD100151"/>
        <s v="ORD100153"/>
        <s v="ORD100154"/>
        <s v="ORD100163"/>
        <s v="ORD100172"/>
        <s v="ORD100176"/>
        <s v="ORD100196"/>
        <s v="ORD100204"/>
        <s v="ORD100213"/>
        <s v="ORD100224"/>
        <s v="ORD100231"/>
        <s v="ORD100233"/>
        <s v="ORD100236"/>
        <s v="ORD100244"/>
        <s v="ORD100276"/>
        <s v="ORD100284"/>
        <s v="ORD100290"/>
        <s v="ORD100297"/>
        <s v="ORD100320"/>
        <s v="ORD100321"/>
        <s v="ORD100334"/>
        <s v="ORD100336"/>
        <s v="ORD100339"/>
        <s v="ORD100342"/>
        <s v="ORD100352"/>
        <s v="ORD100354"/>
        <s v="ORD100372"/>
        <s v="ORD100373"/>
        <s v="ORD100396"/>
        <s v="ORD100402"/>
        <s v="ORD100407"/>
        <s v="ORD100430"/>
        <s v="ORD100438"/>
        <s v="ORD100443"/>
        <s v="ORD100455"/>
        <s v="ORD100473"/>
        <s v="ORD100474"/>
        <s v="ORD100478"/>
        <s v="ORD100501"/>
        <s v="ORD100508"/>
        <s v="ORD100510"/>
        <s v="ORD100512"/>
        <s v="ORD100513"/>
        <s v="ORD100517"/>
        <s v="ORD100526"/>
        <s v="ORD100529"/>
        <s v="ORD100534"/>
        <s v="ORD100537"/>
        <s v="ORD100540"/>
        <s v="ORD100546"/>
        <s v="ORD100554"/>
        <s v="ORD100567"/>
        <s v="ORD100584"/>
        <s v="ORD100590"/>
        <s v="ORD100592"/>
        <s v="ORD100594"/>
        <s v="ORD100597"/>
        <s v="ORD100607"/>
        <s v="ORD100613"/>
        <s v="ORD100625"/>
        <s v="ORD100629"/>
        <s v="ORD100642"/>
        <s v="ORD100643"/>
        <s v="ORD100654"/>
        <s v="ORD100660"/>
        <s v="ORD100667"/>
        <s v="ORD100676"/>
        <s v="ORD100680"/>
        <s v="ORD100682"/>
        <s v="ORD100685"/>
        <s v="ORD100687"/>
        <s v="ORD100692"/>
        <s v="ORD100694"/>
        <s v="ORD100700"/>
        <s v="ORD100705"/>
        <s v="ORD100765"/>
        <s v="ORD100780"/>
        <s v="ORD100790"/>
        <s v="ORD100791"/>
        <s v="ORD100796"/>
        <s v="ORD100799"/>
        <s v="ORD100802"/>
        <s v="ORD100812"/>
        <s v="ORD100821"/>
        <s v="ORD100827"/>
        <s v="ORD100838"/>
        <s v="ORD100841"/>
        <s v="ORD100852"/>
        <s v="ORD100873"/>
        <s v="ORD100876"/>
        <s v="ORD100878"/>
        <s v="ORD100880"/>
        <s v="ORD100885"/>
        <s v="ORD100890"/>
        <s v="ORD100895"/>
        <s v="ORD100907"/>
        <s v="ORD100911"/>
        <s v="ORD100916"/>
        <s v="ORD100929"/>
        <s v="ORD100932"/>
        <s v="ORD100944"/>
        <s v="ORD100954"/>
        <s v="ORD100956"/>
        <s v="ORD100958"/>
        <s v="ORD100961"/>
        <s v="ORD100969"/>
        <s v="ORD100983"/>
        <s v="ORD100987"/>
        <s v="ORD100994"/>
        <s v="ORD100995"/>
        <s v="ORD100008"/>
        <s v="ORD100013"/>
        <s v="ORD100014"/>
        <s v="ORD100015"/>
        <s v="ORD100016"/>
        <s v="ORD100025"/>
        <s v="ORD100029"/>
        <s v="ORD100044"/>
        <s v="ORD100052"/>
        <s v="ORD100067"/>
        <s v="ORD100071"/>
        <s v="ORD100078"/>
        <s v="ORD100100"/>
        <s v="ORD100107"/>
        <s v="ORD100109"/>
        <s v="ORD100117"/>
        <s v="ORD100122"/>
        <s v="ORD100126"/>
        <s v="ORD100127"/>
        <s v="ORD100130"/>
        <s v="ORD100131"/>
        <s v="ORD100134"/>
        <s v="ORD100155"/>
        <s v="ORD100167"/>
        <s v="ORD100168"/>
        <s v="ORD100175"/>
        <s v="ORD100198"/>
        <s v="ORD100199"/>
        <s v="ORD100201"/>
        <s v="ORD100202"/>
        <s v="ORD100212"/>
        <s v="ORD100228"/>
        <s v="ORD100230"/>
        <s v="ORD100248"/>
        <s v="ORD100251"/>
        <s v="ORD100255"/>
        <s v="ORD100262"/>
        <s v="ORD100273"/>
        <s v="ORD100274"/>
        <s v="ORD100275"/>
        <s v="ORD100278"/>
        <s v="ORD100291"/>
        <s v="ORD100302"/>
        <s v="ORD100303"/>
        <s v="ORD100305"/>
        <s v="ORD100306"/>
        <s v="ORD100307"/>
        <s v="ORD100309"/>
        <s v="ORD100319"/>
        <s v="ORD100329"/>
        <s v="ORD100331"/>
        <s v="ORD100344"/>
        <s v="ORD100370"/>
        <s v="ORD100378"/>
        <s v="ORD100384"/>
        <s v="ORD100389"/>
        <s v="ORD100401"/>
        <s v="ORD100405"/>
        <s v="ORD100406"/>
        <s v="ORD100412"/>
        <s v="ORD100413"/>
        <s v="ORD100414"/>
        <s v="ORD100421"/>
        <s v="ORD100425"/>
        <s v="ORD100435"/>
        <s v="ORD100451"/>
        <s v="ORD100465"/>
        <s v="ORD100468"/>
        <s v="ORD100477"/>
        <s v="ORD100486"/>
        <s v="ORD100487"/>
        <s v="ORD100498"/>
        <s v="ORD100519"/>
        <s v="ORD100527"/>
        <s v="ORD100533"/>
        <s v="ORD100542"/>
        <s v="ORD100543"/>
        <s v="ORD100547"/>
        <s v="ORD100565"/>
        <s v="ORD100568"/>
        <s v="ORD100571"/>
        <s v="ORD100573"/>
        <s v="ORD100574"/>
        <s v="ORD100577"/>
        <s v="ORD100578"/>
        <s v="ORD100580"/>
        <s v="ORD100585"/>
        <s v="ORD100605"/>
        <s v="ORD100622"/>
        <s v="ORD100633"/>
        <s v="ORD100635"/>
        <s v="ORD100637"/>
        <s v="ORD100645"/>
        <s v="ORD100648"/>
        <s v="ORD100707"/>
        <s v="ORD100716"/>
        <s v="ORD100721"/>
        <s v="ORD100728"/>
        <s v="ORD100745"/>
        <s v="ORD100747"/>
        <s v="ORD100752"/>
        <s v="ORD100756"/>
        <s v="ORD100766"/>
        <s v="ORD100774"/>
        <s v="ORD100777"/>
        <s v="ORD100781"/>
        <s v="ORD100783"/>
        <s v="ORD100795"/>
        <s v="ORD100800"/>
        <s v="ORD100808"/>
        <s v="ORD100811"/>
        <s v="ORD100813"/>
        <s v="ORD100817"/>
        <s v="ORD100831"/>
        <s v="ORD100836"/>
        <s v="ORD100844"/>
        <s v="ORD100845"/>
        <s v="ORD100847"/>
        <s v="ORD100848"/>
        <s v="ORD100855"/>
        <s v="ORD100861"/>
        <s v="ORD100865"/>
        <s v="ORD100872"/>
        <s v="ORD100891"/>
        <s v="ORD100896"/>
        <s v="ORD100897"/>
        <s v="ORD100898"/>
        <s v="ORD100903"/>
        <s v="ORD100913"/>
        <s v="ORD100918"/>
        <s v="ORD100937"/>
        <s v="ORD100976"/>
        <s v="ORD100984"/>
        <s v="ORD100990"/>
        <s v="ORD100993"/>
        <s v="ORD100022"/>
        <s v="ORD100026"/>
        <s v="ORD100055"/>
        <s v="ORD100061"/>
        <s v="ORD100074"/>
        <s v="ORD100093"/>
        <s v="ORD100101"/>
        <s v="ORD100108"/>
        <s v="ORD100138"/>
        <s v="ORD100156"/>
        <s v="ORD100177"/>
        <s v="ORD100178"/>
        <s v="ORD100183"/>
        <s v="ORD100194"/>
        <s v="ORD100195"/>
        <s v="ORD100226"/>
        <s v="ORD100229"/>
        <s v="ORD100241"/>
        <s v="ORD100256"/>
        <s v="ORD100258"/>
        <s v="ORD100259"/>
        <s v="ORD100269"/>
        <s v="ORD100271"/>
        <s v="ORD100272"/>
        <s v="ORD100298"/>
        <s v="ORD100316"/>
        <s v="ORD100333"/>
        <s v="ORD100337"/>
        <s v="ORD100340"/>
        <s v="ORD100343"/>
        <s v="ORD100350"/>
        <s v="ORD100362"/>
        <s v="ORD100363"/>
        <s v="ORD100379"/>
        <s v="ORD100381"/>
        <s v="ORD100394"/>
        <s v="ORD100410"/>
        <s v="ORD100424"/>
        <s v="ORD100437"/>
        <s v="ORD100441"/>
        <s v="ORD100453"/>
        <s v="ORD100456"/>
        <s v="ORD100461"/>
        <s v="ORD100475"/>
        <s v="ORD100504"/>
        <s v="ORD100528"/>
        <s v="ORD100538"/>
        <s v="ORD100545"/>
        <s v="ORD100548"/>
        <s v="ORD100550"/>
        <s v="ORD100575"/>
        <s v="ORD100582"/>
        <s v="ORD100589"/>
        <s v="ORD100595"/>
        <s v="ORD100618"/>
        <s v="ORD100632"/>
        <s v="ORD100634"/>
        <s v="ORD100639"/>
        <s v="ORD100647"/>
        <s v="ORD100652"/>
        <s v="ORD100658"/>
        <s v="ORD100664"/>
        <s v="ORD100665"/>
        <s v="ORD100688"/>
        <s v="ORD100695"/>
        <s v="ORD100697"/>
        <s v="ORD100699"/>
        <s v="ORD100718"/>
        <s v="ORD100719"/>
        <s v="ORD100726"/>
        <s v="ORD100733"/>
        <s v="ORD100742"/>
        <s v="ORD100744"/>
        <s v="ORD100746"/>
        <s v="ORD100751"/>
        <s v="ORD100769"/>
        <s v="ORD100784"/>
        <s v="ORD100854"/>
        <s v="ORD100864"/>
        <s v="ORD100868"/>
        <s v="ORD100871"/>
        <s v="ORD100886"/>
        <s v="ORD100887"/>
        <s v="ORD100889"/>
        <s v="ORD100893"/>
        <s v="ORD100899"/>
        <s v="ORD100914"/>
        <s v="ORD100917"/>
        <s v="ORD100919"/>
        <s v="ORD100938"/>
        <s v="ORD100943"/>
        <s v="ORD100950"/>
        <s v="ORD100951"/>
        <s v="ORD100965"/>
        <s v="ORD100980"/>
        <s v="ORD100988"/>
        <s v="ORD100996"/>
        <s v="ORD100075"/>
        <s v="ORD100150"/>
        <s v="ORD100225"/>
        <s v="ORD100300"/>
        <s v="ORD100375"/>
        <s v="ORD100450"/>
        <s v="ORD100525"/>
        <s v="ORD100675"/>
        <s v="ORD100750"/>
        <s v="ORD100825"/>
        <s v="ORD100900"/>
        <s v="ORD100975"/>
      </sharedItems>
    </cacheField>
    <cacheField name="Order_Date" numFmtId="164">
      <sharedItems containsSemiMixedTypes="0" containsDate="1" containsString="0">
        <d v="2025-02-25T00:00:00Z"/>
        <d v="2025-10-14T00:00:00Z"/>
        <d v="2025-05-13T00:00:00Z"/>
        <d v="2025-11-20T00:00:00Z"/>
        <d v="2025-02-05T00:00:00Z"/>
        <d v="2025-02-07T00:00:00Z"/>
        <d v="2025-03-07T00:00:00Z"/>
        <d v="2025-07-04T00:00:00Z"/>
        <d v="2025-12-07T00:00:00Z"/>
        <d v="2025-03-12T00:00:00Z"/>
        <d v="2025-12-12T00:00:00Z"/>
        <d v="2025-12-27T00:00:00Z"/>
        <d v="2025-02-19T00:00:00Z"/>
        <d v="2025-09-09T00:00:00Z"/>
        <d v="2025-03-25T00:00:00Z"/>
        <d v="2025-09-18T00:00:00Z"/>
        <d v="2025-06-08T00:00:00Z"/>
        <d v="2025-09-17T00:00:00Z"/>
        <d v="2025-03-11T00:00:00Z"/>
        <d v="2025-10-22T00:00:00Z"/>
        <d v="2025-01-07T00:00:00Z"/>
        <d v="2025-08-06T00:00:00Z"/>
        <d v="2025-04-04T00:00:00Z"/>
        <d v="2025-01-20T00:00:00Z"/>
        <d v="2025-06-26T00:00:00Z"/>
        <d v="2025-04-16T00:00:00Z"/>
        <d v="2025-07-13T00:00:00Z"/>
        <d v="2025-01-10T00:00:00Z"/>
        <d v="2025-09-05T00:00:00Z"/>
        <d v="2025-06-25T00:00:00Z"/>
        <d v="2025-03-01T00:00:00Z"/>
        <d v="2025-05-04T00:00:00Z"/>
        <d v="2025-09-21T00:00:00Z"/>
        <d v="2025-12-15T00:00:00Z"/>
        <d v="2025-04-18T00:00:00Z"/>
        <d v="2025-05-06T00:00:00Z"/>
        <d v="2025-09-13T00:00:00Z"/>
        <d v="2025-08-19T00:00:00Z"/>
        <d v="2025-07-22T00:00:00Z"/>
        <d v="2025-05-27T00:00:00Z"/>
        <d v="2025-02-13T00:00:00Z"/>
        <d v="2025-02-09T00:00:00Z"/>
        <d v="2025-03-27T00:00:00Z"/>
        <d v="2025-03-26T00:00:00Z"/>
        <d v="2025-11-16T00:00:00Z"/>
        <d v="2025-03-13T00:00:00Z"/>
        <d v="2025-06-06T00:00:00Z"/>
        <d v="2025-06-12T00:00:00Z"/>
        <d v="2025-01-18T00:00:00Z"/>
        <d v="2025-10-25T00:00:00Z"/>
        <d v="2025-08-11T00:00:00Z"/>
        <d v="2025-04-01T00:00:00Z"/>
        <d v="2025-06-14T00:00:00Z"/>
        <d v="2025-01-23T00:00:00Z"/>
        <d v="2025-08-21T00:00:00Z"/>
        <d v="2025-12-13T00:00:00Z"/>
        <d v="2025-02-17T00:00:00Z"/>
        <d v="2025-03-19T00:00:00Z"/>
        <d v="2025-11-22T00:00:00Z"/>
        <d v="2025-08-26T00:00:00Z"/>
        <d v="2025-08-09T00:00:00Z"/>
        <d v="2025-02-10T00:00:00Z"/>
        <d v="2025-12-14T00:00:00Z"/>
        <d v="2025-09-26T00:00:00Z"/>
        <d v="2025-12-25T00:00:00Z"/>
        <d v="2025-12-29T00:00:00Z"/>
        <d v="2025-10-23T00:00:00Z"/>
        <d v="2025-12-10T00:00:00Z"/>
        <d v="2025-09-22T00:00:00Z"/>
        <d v="2025-07-09T00:00:00Z"/>
        <d v="2025-03-22T00:00:00Z"/>
        <d v="2025-07-12T00:00:00Z"/>
        <d v="2025-08-13T00:00:00Z"/>
        <d v="2025-05-30T00:00:00Z"/>
        <d v="2025-02-08T00:00:00Z"/>
        <d v="2025-04-23T00:00:00Z"/>
        <d v="2025-02-24T00:00:00Z"/>
        <d v="2025-01-27T00:00:00Z"/>
        <d v="2025-10-13T00:00:00Z"/>
        <d v="2025-05-09T00:00:00Z"/>
        <d v="2025-01-08T00:00:00Z"/>
        <d v="2025-05-21T00:00:00Z"/>
        <d v="2025-05-24T00:00:00Z"/>
        <d v="2025-05-22T00:00:00Z"/>
        <d v="2025-06-02T00:00:00Z"/>
        <d v="2025-01-09T00:00:00Z"/>
        <d v="2025-07-21T00:00:00Z"/>
        <d v="2025-04-05T00:00:00Z"/>
        <d v="2025-03-17T00:00:00Z"/>
        <d v="2025-05-26T00:00:00Z"/>
        <d v="2025-07-28T00:00:00Z"/>
        <d v="2025-12-19T00:00:00Z"/>
        <d v="2025-10-21T00:00:00Z"/>
        <d v="2025-12-08T00:00:00Z"/>
        <d v="2025-11-13T00:00:00Z"/>
        <d v="2025-08-03T00:00:00Z"/>
        <d v="2025-07-05T00:00:00Z"/>
        <d v="2025-08-08T00:00:00Z"/>
        <d v="2025-03-30T00:00:00Z"/>
        <d v="2025-02-28T00:00:00Z"/>
        <d v="2025-05-05T00:00:00Z"/>
        <d v="2025-08-30T00:00:00Z"/>
        <d v="2025-11-30T00:00:00Z"/>
        <d v="2025-02-20T00:00:00Z"/>
        <d v="2025-09-02T00:00:00Z"/>
        <d v="2025-07-07T00:00:00Z"/>
        <d v="2025-08-15T00:00:00Z"/>
        <d v="2026-01-01T00:00:00Z"/>
        <d v="2025-11-07T00:00:00Z"/>
        <d v="2025-01-17T00:00:00Z"/>
        <d v="2025-03-10T00:00:00Z"/>
        <d v="2025-10-31T00:00:00Z"/>
        <d v="2025-04-27T00:00:00Z"/>
        <d v="2025-09-08T00:00:00Z"/>
        <d v="2025-11-27T00:00:00Z"/>
        <d v="2025-10-26T00:00:00Z"/>
        <d v="2025-08-25T00:00:00Z"/>
        <d v="2025-03-20T00:00:00Z"/>
        <d v="2025-03-23T00:00:00Z"/>
        <d v="2025-12-20T00:00:00Z"/>
        <d v="2025-12-26T00:00:00Z"/>
        <d v="2025-12-28T00:00:00Z"/>
        <d v="2025-01-11T00:00:00Z"/>
        <d v="2025-11-04T00:00:00Z"/>
        <d v="2025-07-29T00:00:00Z"/>
        <d v="2025-09-20T00:00:00Z"/>
        <d v="2025-02-16T00:00:00Z"/>
        <d v="2025-07-16T00:00:00Z"/>
        <d v="2025-01-26T00:00:00Z"/>
        <d v="2025-04-26T00:00:00Z"/>
        <d v="2025-11-24T00:00:00Z"/>
        <d v="2025-06-30T00:00:00Z"/>
        <d v="2025-05-12T00:00:00Z"/>
        <d v="2025-02-14T00:00:00Z"/>
        <d v="2025-02-04T00:00:00Z"/>
        <d v="2025-06-10T00:00:00Z"/>
        <d v="2025-10-01T00:00:00Z"/>
        <d v="2025-09-15T00:00:00Z"/>
        <d v="2025-04-28T00:00:00Z"/>
        <d v="2025-04-17T00:00:00Z"/>
        <d v="2025-04-25T00:00:00Z"/>
        <d v="2025-04-15T00:00:00Z"/>
        <d v="2025-11-18T00:00:00Z"/>
        <d v="2025-03-21T00:00:00Z"/>
        <d v="2025-05-29T00:00:00Z"/>
        <d v="2025-08-24T00:00:00Z"/>
        <d v="2025-02-12T00:00:00Z"/>
        <d v="2025-10-02T00:00:00Z"/>
        <d v="2025-09-07T00:00:00Z"/>
        <d v="2025-05-10T00:00:00Z"/>
        <d v="2025-04-19T00:00:00Z"/>
        <d v="2025-06-27T00:00:00Z"/>
        <d v="2025-10-12T00:00:00Z"/>
        <d v="2025-08-04T00:00:00Z"/>
        <d v="2025-12-21T00:00:00Z"/>
        <d v="2025-06-13T00:00:00Z"/>
        <d v="2025-08-29T00:00:00Z"/>
        <d v="2025-01-06T00:00:00Z"/>
        <d v="2025-12-01T00:00:00Z"/>
        <d v="2025-03-04T00:00:00Z"/>
        <d v="2025-11-28T00:00:00Z"/>
        <d v="2025-01-28T00:00:00Z"/>
        <d v="2025-11-19T00:00:00Z"/>
        <d v="2025-12-11T00:00:00Z"/>
        <d v="2025-02-27T00:00:00Z"/>
        <d v="2025-11-06T00:00:00Z"/>
        <d v="2025-06-03T00:00:00Z"/>
        <d v="2025-11-26T00:00:00Z"/>
        <d v="2025-12-24T00:00:00Z"/>
        <d v="2025-11-01T00:00:00Z"/>
        <d v="2025-08-12T00:00:00Z"/>
        <d v="2025-02-15T00:00:00Z"/>
        <d v="2025-10-16T00:00:00Z"/>
        <d v="2025-02-21T00:00:00Z"/>
        <d v="2025-10-19T00:00:00Z"/>
        <d v="2025-11-23T00:00:00Z"/>
        <d v="2025-05-03T00:00:00Z"/>
        <d v="2025-03-08T00:00:00Z"/>
        <d v="2025-05-16T00:00:00Z"/>
        <d v="2025-06-19T00:00:00Z"/>
        <d v="2025-12-30T00:00:00Z"/>
        <d v="2025-03-05T00:00:00Z"/>
        <d v="2025-10-24T00:00:00Z"/>
        <d v="2025-05-19T00:00:00Z"/>
        <d v="2025-12-04T00:00:00Z"/>
        <d v="2025-01-25T00:00:00Z"/>
        <d v="2025-12-06T00:00:00Z"/>
        <d v="2025-08-31T00:00:00Z"/>
        <d v="2025-04-08T00:00:00Z"/>
        <d v="2025-07-01T00:00:00Z"/>
        <d v="2025-04-11T00:00:00Z"/>
        <d v="2025-09-30T00:00:00Z"/>
        <d v="2025-07-06T00:00:00Z"/>
        <d v="2025-05-01T00:00:00Z"/>
        <d v="2025-10-20T00:00:00Z"/>
        <d v="2025-07-15T00:00:00Z"/>
        <d v="2025-02-22T00:00:00Z"/>
        <d v="2025-01-16T00:00:00Z"/>
        <d v="2025-04-03T00:00:00Z"/>
        <d v="2025-06-21T00:00:00Z"/>
        <d v="2025-05-31T00:00:00Z"/>
        <d v="2025-05-28T00:00:00Z"/>
        <d v="2025-02-02T00:00:00Z"/>
        <d v="2025-01-22T00:00:00Z"/>
        <d v="2025-08-22T00:00:00Z"/>
        <d v="2025-04-24T00:00:00Z"/>
        <d v="2025-12-18T00:00:00Z"/>
        <d v="2025-05-15T00:00:00Z"/>
        <d v="2025-10-17T00:00:00Z"/>
        <d v="2025-11-17T00:00:00Z"/>
        <d v="2025-11-21T00:00:00Z"/>
        <d v="2025-01-13T00:00:00Z"/>
        <d v="2025-07-20T00:00:00Z"/>
        <d v="2025-12-22T00:00:00Z"/>
        <d v="2025-11-11T00:00:00Z"/>
        <d v="2025-09-01T00:00:00Z"/>
        <d v="2025-08-18T00:00:00Z"/>
        <d v="2025-09-23T00:00:00Z"/>
        <d v="2025-03-09T00:00:00Z"/>
        <d v="2025-04-22T00:00:00Z"/>
        <d v="2025-06-22T00:00:00Z"/>
        <d v="2025-03-02T00:00:00Z"/>
        <d v="2025-11-03T00:00:00Z"/>
        <d v="2025-12-03T00:00:00Z"/>
        <d v="2025-06-29T00:00:00Z"/>
        <d v="2025-09-28T00:00:00Z"/>
        <d v="2025-10-08T00:00:00Z"/>
        <d v="2025-06-11T00:00:00Z"/>
        <d v="2025-04-20T00:00:00Z"/>
        <d v="2025-12-09T00:00:00Z"/>
        <d v="2025-10-18T00:00:00Z"/>
        <d v="2025-09-03T00:00:00Z"/>
        <d v="2025-12-31T00:00:00Z"/>
        <d v="2025-06-24T00:00:00Z"/>
        <d v="2025-10-29T00:00:00Z"/>
        <d v="2025-10-15T00:00:00Z"/>
        <d v="2025-07-11T00:00:00Z"/>
        <d v="2025-04-10T00:00:00Z"/>
        <d v="2025-07-08T00:00:00Z"/>
        <d v="2025-01-14T00:00:00Z"/>
        <d v="2025-01-15T00:00:00Z"/>
        <d v="2025-06-05T00:00:00Z"/>
        <d v="2025-07-18T00:00:00Z"/>
        <d v="2025-09-14T00:00:00Z"/>
        <d v="2025-04-07T00:00:00Z"/>
        <d v="2025-02-23T00:00:00Z"/>
        <d v="2025-08-28T00:00:00Z"/>
        <d v="2025-11-12T00:00:00Z"/>
        <d v="2025-08-17T00:00:00Z"/>
        <d v="2025-10-04T00:00:00Z"/>
        <d v="2025-12-23T00:00:00Z"/>
        <d v="2025-04-30T00:00:00Z"/>
        <d v="2025-09-06T00:00:00Z"/>
        <d v="2025-11-09T00:00:00Z"/>
        <d v="2025-03-16T00:00:00Z"/>
        <d v="2025-09-04T00:00:00Z"/>
        <d v="2025-08-01T00:00:00Z"/>
        <d v="2025-04-02T00:00:00Z"/>
        <d v="2025-12-17T00:00:00Z"/>
        <d v="2025-09-19T00:00:00Z"/>
        <d v="2025-11-02T00:00:00Z"/>
        <d v="2025-03-31T00:00:00Z"/>
        <d v="2025-06-04T00:00:00Z"/>
        <d v="2025-05-18T00:00:00Z"/>
        <d v="2025-01-21T00:00:00Z"/>
        <d v="2025-06-28T00:00:00Z"/>
        <d v="2025-06-16T00:00:00Z"/>
        <d v="2025-11-05T00:00:00Z"/>
        <d v="2025-12-02T00:00:00Z"/>
        <d v="2025-12-05T00:00:00Z"/>
        <d v="2025-07-25T00:00:00Z"/>
        <d v="2025-07-31T00:00:00Z"/>
        <d v="2025-02-26T00:00:00Z"/>
        <d v="2025-10-07T00:00:00Z"/>
        <d v="2025-09-12T00:00:00Z"/>
        <d v="2025-01-30T00:00:00Z"/>
        <d v="2025-02-03T00:00:00Z"/>
        <d v="2025-09-25T00:00:00Z"/>
        <d v="2025-06-17T00:00:00Z"/>
        <d v="2025-05-11T00:00:00Z"/>
        <d v="2025-12-16T00:00:00Z"/>
        <d v="2025-01-01T00:00:00Z"/>
        <d v="2025-03-28T00:00:00Z"/>
        <d v="2025-04-09T00:00:00Z"/>
        <d v="2025-10-11T00:00:00Z"/>
        <d v="2025-01-31T00:00:00Z"/>
        <d v="2025-04-21T00:00:00Z"/>
        <d v="2025-10-06T00:00:00Z"/>
        <d v="2025-10-10T00:00:00Z"/>
        <d v="2025-09-29T00:00:00Z"/>
        <d v="2025-07-30T00:00:00Z"/>
        <d v="2025-01-05T00:00:00Z"/>
        <d v="2025-01-24T00:00:00Z"/>
        <d v="2025-05-08T00:00:00Z"/>
        <d v="2025-10-05T00:00:00Z"/>
        <d v="2025-08-16T00:00:00Z"/>
        <d v="2025-04-12T00:00:00Z"/>
        <d v="2025-07-10T00:00:00Z"/>
        <d v="2025-11-10T00:00:00Z"/>
        <d v="2025-05-17T00:00:00Z"/>
        <d v="2025-08-20T00:00:00Z"/>
        <d v="2025-07-24T00:00:00Z"/>
        <d v="2025-04-06T00:00:00Z"/>
        <d v="2025-05-07T00:00:00Z"/>
        <d v="2025-01-29T00:00:00Z"/>
        <d v="2025-11-08T00:00:00Z"/>
        <d v="2025-06-15T00:00:00Z"/>
        <d v="2025-11-29T00:00:00Z"/>
        <d v="2025-08-10T00:00:00Z"/>
        <d v="2025-10-09T00:00:00Z"/>
        <d v="2025-06-18T00:00:00Z"/>
        <d v="2025-07-03T00:00:00Z"/>
        <d v="2025-09-24T00:00:00Z"/>
        <d v="2025-06-01T00:00:00Z"/>
        <d v="2025-04-29T00:00:00Z"/>
        <d v="2025-05-20T00:00:00Z"/>
        <d v="2025-05-14T00:00:00Z"/>
        <d v="2025-11-14T00:00:00Z"/>
        <d v="2025-11-25T00:00:00Z"/>
        <d v="2025-01-19T00:00:00Z"/>
        <d v="2025-05-02T00:00:00Z"/>
        <d v="2025-04-14T00:00:00Z"/>
        <d v="2025-03-18T00:00:00Z"/>
        <d v="2025-03-03T00:00:00Z"/>
        <d v="2025-06-07T00:00:00Z"/>
        <d v="2025-01-04T00:00:00Z"/>
        <d v="2025-10-28T00:00:00Z"/>
        <d v="2025-09-11T00:00:00Z"/>
        <d v="2025-08-27T00:00:00Z"/>
        <d v="2025-08-02T00:00:00Z"/>
        <d v="2025-11-15T00:00:00Z"/>
        <d v="2025-09-16T00:00:00Z"/>
        <d v="2025-04-13T00:00:00Z"/>
        <d v="2025-06-20T00:00:00Z"/>
        <d v="2025-07-27T00:00:00Z"/>
        <d v="2025-09-27T00:00:00Z"/>
        <d v="2025-03-29T00:00:00Z"/>
        <d v="2025-02-11T00:00:00Z"/>
        <d v="2025-10-03T00:00:00Z"/>
        <d v="2025-09-10T00:00:00Z"/>
        <d v="2025-07-23T00:00:00Z"/>
        <d v="2025-07-14T00:00:00Z"/>
      </sharedItems>
    </cacheField>
    <cacheField name="Customer_ID" numFmtId="0">
      <sharedItems>
        <s v="CUST5529"/>
        <s v="CUST3127"/>
        <s v="CUST8887"/>
        <s v="CUST4796"/>
        <s v="CUST3688"/>
        <s v="CUST2669"/>
        <s v="CUST7465"/>
        <s v="CUST5151"/>
        <s v="CUST2791"/>
        <s v="CUST4496"/>
        <s v="CUST8811"/>
        <s v="CUST1956"/>
        <s v="CUST5091"/>
        <s v="CUST2345"/>
        <s v="CUST8366"/>
        <s v="CUST7062"/>
        <s v="CUST9450"/>
        <s v="CUST7178"/>
        <s v="CUST5375"/>
        <s v="CUST2562"/>
        <s v="CUST3839"/>
        <s v="CUST1479"/>
        <s v="CUST9875"/>
        <s v="CUST3522"/>
        <s v="CUST5600"/>
        <s v="CUST4756"/>
        <s v="CUST1711"/>
        <s v="CUST9840"/>
        <s v="CUST3760"/>
        <s v="CUST5079"/>
        <s v="CUST8311"/>
        <s v="CUST8467"/>
        <s v="CUST1367"/>
        <s v="CUST2862"/>
        <s v="CUST5129"/>
        <s v="CUST6728"/>
        <s v="CUST7176"/>
        <s v="CUST7082"/>
        <s v="CUST2463"/>
        <s v="CUST2152"/>
        <s v="CUST1463"/>
        <s v="CUST3464"/>
        <s v="CUST3094"/>
        <s v="CUST2537"/>
        <s v="CUST3044"/>
        <s v="CUST1614"/>
        <s v="CUST2051"/>
        <s v="CUST9304"/>
        <s v="CUST6828"/>
        <s v="CUST3075"/>
        <s v="CUST5468"/>
        <s v="CUST9551"/>
        <s v="CUST5318"/>
        <s v="CUST9900"/>
        <s v="CUST4041"/>
        <s v="CUST9292"/>
        <s v="CUST9927"/>
        <s v="CUST5128"/>
        <s v="CUST6600"/>
        <s v="CUST5615"/>
        <s v="CUST9421"/>
        <s v="CUST7628"/>
        <s v="CUST6436"/>
        <s v="CUST8269"/>
        <s v="CUST9543"/>
        <s v="CUST8325"/>
        <s v="CUST8225"/>
        <s v="CUST4966"/>
        <s v="CUST6860"/>
        <s v="CUST3778"/>
        <s v="CUST6394"/>
        <s v="CUST7188"/>
        <s v="CUST4646"/>
        <s v="CUST7491"/>
        <s v="CUST4722"/>
        <s v="CUST8813"/>
        <s v="CUST3751"/>
        <s v="CUST4934"/>
        <s v="CUST9693"/>
        <s v="CUST2181"/>
        <s v="CUST3567"/>
        <s v="CUST9614"/>
        <s v="CUST6684"/>
        <s v="CUST3321"/>
        <s v="CUST2904"/>
        <s v="CUST4559"/>
        <s v="CUST5155"/>
        <s v="CUST2744"/>
        <s v="CUST6638"/>
        <s v="CUST7371"/>
        <s v="CUST7026"/>
        <s v="CUST4706"/>
        <s v="CUST9952"/>
        <s v="CUST9628"/>
        <s v="CUST5505"/>
        <s v="CUST7445"/>
        <s v="CUST6814"/>
        <s v="CUST7228"/>
        <s v="CUST5806"/>
        <s v="CUST7876"/>
        <s v="CUST7903"/>
        <s v="CUST9458"/>
        <s v="CUST7814"/>
        <s v="CUST7065"/>
        <s v="CUST5455"/>
        <s v="CUST8455"/>
        <s v="CUST9287"/>
        <s v="CUST4947"/>
        <s v="CUST9104"/>
        <s v="CUST6152"/>
        <s v="CUST7933"/>
        <s v="CUST7676"/>
        <s v="CUST6319"/>
        <s v="CUST5413"/>
        <s v="CUST1004"/>
        <s v="CUST8387"/>
        <s v="CUST3843"/>
        <s v="CUST1713"/>
        <s v="CUST4003"/>
        <s v="CUST1284"/>
        <s v="CUST9642"/>
        <s v="CUST9307"/>
        <s v="CUST4363"/>
        <s v="CUST5869"/>
        <s v="CUST4750"/>
        <s v="CUST9203"/>
        <s v="CUST8053"/>
        <s v="CUST2690"/>
        <s v="CUST5871"/>
        <s v="CUST9017"/>
        <s v="CUST7911"/>
        <s v="CUST3689"/>
        <s v="CUST4650"/>
        <s v="CUST5433"/>
        <s v="CUST2871"/>
        <s v="CUST8298"/>
        <s v="CUST8408"/>
        <s v="CUST3366"/>
        <s v="CUST9059"/>
        <s v="CUST7574"/>
        <s v="CUST1436"/>
        <s v="CUST3685"/>
        <s v="CUST8049"/>
        <s v="CUST5355"/>
        <s v="CUST3186"/>
        <s v="CUST3169"/>
        <s v="CUST3877"/>
        <s v="CUST6407"/>
        <s v="CUST8105"/>
        <s v="CUST6002"/>
        <s v="CUST6028"/>
        <s v="CUST1762"/>
        <s v="CUST7059"/>
        <s v="CUST1932"/>
        <s v="CUST7196"/>
        <s v="CUST5621"/>
        <s v="CUST9849"/>
        <s v="CUST1577"/>
        <s v="CUST7654"/>
        <s v="CUST3763"/>
        <s v="CUST7309"/>
        <s v="CUST9776"/>
        <s v="CUST3365"/>
        <s v="CUST2242"/>
        <s v="CUST8164"/>
        <s v="CUST2671"/>
        <s v="CUST4414"/>
        <s v="CUST2231"/>
        <s v="CUST9754"/>
        <s v="CUST4215"/>
        <s v="CUST2935"/>
        <s v="CUST4982"/>
        <s v="CUST6887"/>
        <s v="CUST9942"/>
        <s v="CUST9131"/>
        <s v="CUST4317"/>
        <s v="CUST7664"/>
        <s v="CUST8899"/>
        <s v="CUST5363"/>
        <s v="CUST2708"/>
        <s v="CUST8425"/>
        <s v="CUST1616"/>
        <s v="CUST8789"/>
        <s v="CUST1565"/>
        <s v="CUST2661"/>
        <s v="CUST1316"/>
        <s v="CUST3835"/>
        <s v="CUST2742"/>
        <s v="CUST1401"/>
        <s v="CUST3001"/>
        <s v="CUST3820"/>
        <s v="CUST6006"/>
        <s v="CUST1936"/>
        <s v="CUST9489"/>
        <s v="CUST4099"/>
        <s v="CUST8583"/>
        <s v="CUST9217"/>
        <s v="CUST4150"/>
        <s v="CUST9567"/>
        <s v="CUST6345"/>
        <s v="CUST4673"/>
        <s v="CUST4109"/>
        <s v="CUST8110"/>
        <s v="CUST1681"/>
        <s v="CUST2218"/>
        <s v="CUST7317"/>
        <s v="CUST8532"/>
        <s v="CUST8431"/>
        <s v="CUST8657"/>
        <s v="CUST6762"/>
        <s v="CUST2589"/>
        <s v="CUST9651"/>
        <s v="CUST3851"/>
        <s v="CUST5415"/>
        <s v="CUST3690"/>
        <s v="CUST6336"/>
        <s v="CUST8319"/>
        <s v="CUST8217"/>
        <s v="CUST1962"/>
        <s v="CUST7578"/>
        <s v="CUST9510"/>
        <s v="CUST4996"/>
        <s v="CUST1779"/>
        <s v="CUST4926"/>
        <s v="CUST3603"/>
        <s v="CUST6881"/>
        <s v="CUST9994"/>
        <s v="CUST1759"/>
        <s v="CUST6414"/>
        <s v="CUST9299"/>
        <s v="CUST5160"/>
        <s v="CUST4565"/>
        <s v="CUST2025"/>
        <s v="CUST7718"/>
        <s v="CUST1357"/>
        <s v="CUST7238"/>
        <s v="CUST7185"/>
        <s v="CUST5829"/>
        <s v="CUST5373"/>
        <s v="CUST9501"/>
        <s v="CUST3508"/>
        <s v="CUST1406"/>
        <s v="CUST3212"/>
        <s v="CUST4002"/>
        <s v="CUST8975"/>
        <s v="CUST5386"/>
        <s v="CUST4958"/>
        <s v="CUST8430"/>
        <s v="CUST5607"/>
        <s v="CUST8211"/>
        <s v="CUST7484"/>
        <s v="CUST5232"/>
        <s v="CUST5926"/>
        <s v="CUST3809"/>
        <s v="CUST9563"/>
        <s v="CUST6238"/>
        <s v="CUST8352"/>
        <s v="CUST7031"/>
        <s v="CUST4824"/>
        <s v="CUST1113"/>
        <s v="CUST6997"/>
        <s v="CUST2480"/>
        <s v="CUST5188"/>
        <s v="CUST4137"/>
        <s v="CUST4685"/>
        <s v="CUST4747"/>
        <s v="CUST1215"/>
        <s v="CUST3397"/>
        <s v="CUST4777"/>
        <s v="CUST9728"/>
        <s v="CUST9158"/>
        <s v="CUST6927"/>
        <s v="CUST7501"/>
        <s v="CUST3341"/>
        <s v="CUST8650"/>
        <s v="CUST1183"/>
        <s v="CUST9627"/>
        <s v="CUST3265"/>
        <s v="CUST5743"/>
        <s v="CUST7621"/>
        <s v="CUST3023"/>
        <s v="CUST3345"/>
        <s v="CUST4625"/>
        <s v="CUST3277"/>
        <s v="CUST5932"/>
        <s v="CUST9649"/>
        <s v="CUST4269"/>
        <s v="CUST1253"/>
        <s v="CUST3418"/>
        <s v="CUST9209"/>
        <s v="CUST2777"/>
        <s v="CUST2031"/>
        <s v="CUST9219"/>
        <s v="CUST5766"/>
        <s v="CUST1453"/>
        <s v="CUST1940"/>
        <s v="CUST9464"/>
        <s v="CUST7117"/>
        <s v="CUST1833"/>
        <s v="CUST3911"/>
        <s v="CUST2812"/>
        <s v="CUST2027"/>
        <s v="CUST6260"/>
        <s v="CUST9055"/>
        <s v="CUST4089"/>
        <s v="CUST7568"/>
        <s v="CUST5535"/>
        <s v="CUST3972"/>
        <s v="CUST7033"/>
        <s v="CUST1399"/>
        <s v="CUST8826"/>
        <s v="CUST7221"/>
        <s v="CUST5899"/>
        <s v="CUST6314"/>
        <s v="CUST1835"/>
        <s v="CUST8649"/>
        <s v="CUST6421"/>
        <s v="CUST4537"/>
        <s v="CUST1673"/>
        <s v="CUST7863"/>
        <s v="CUST7631"/>
        <s v="CUST3078"/>
        <s v="CUST7236"/>
        <s v="CUST4420"/>
        <s v="CUST1175"/>
        <s v="CUST1269"/>
        <s v="CUST8314"/>
        <s v="CUST2793"/>
        <s v="CUST2138"/>
        <s v="CUST9465"/>
        <s v="CUST3580"/>
        <s v="CUST6116"/>
        <s v="CUST6565"/>
        <s v="CUST3297"/>
        <s v="CUST9089"/>
        <s v="CUST6340"/>
        <s v="CUST8199"/>
        <s v="CUST6944"/>
        <s v="CUST3264"/>
        <s v="CUST9364"/>
        <s v="CUST4431"/>
        <s v="CUST7072"/>
        <s v="CUST9404"/>
        <s v="CUST1890"/>
        <s v="CUST2384"/>
        <s v="CUST4106"/>
        <s v="CUST9493"/>
        <s v="CUST8525"/>
        <s v="CUST9285"/>
        <s v="CUST6987"/>
        <s v="CUST3730"/>
        <s v="CUST2418"/>
        <s v="CUST6410"/>
        <s v="CUST7618"/>
        <s v="CUST2714"/>
        <s v="CUST3952"/>
        <s v="CUST9953"/>
        <s v="CUST5903"/>
        <s v="CUST1887"/>
        <s v="CUST9869"/>
        <s v="CUST2565"/>
        <s v="CUST5367"/>
        <s v="CUST8346"/>
        <s v="CUST4229"/>
        <s v="CUST7476"/>
        <s v="CUST2190"/>
        <s v="CUST8623"/>
        <s v="CUST5524"/>
        <s v="CUST3794"/>
        <s v="CUST8316"/>
        <s v="CUST7341"/>
        <s v="CUST2423"/>
        <s v="CUST2378"/>
        <s v="CUST6995"/>
        <s v="CUST6625"/>
        <s v="CUST7263"/>
        <s v="CUST8010"/>
        <s v="CUST9008"/>
        <s v="CUST4009"/>
        <s v="CUST3662"/>
        <s v="CUST5168"/>
        <s v="CUST1049"/>
        <s v="CUST6518"/>
        <s v="CUST4705"/>
        <s v="CUST9645"/>
        <s v="CUST2997"/>
        <s v="CUST2088"/>
        <s v="CUST6773"/>
        <s v="CUST9191"/>
        <s v="CUST6111"/>
        <s v="CUST4094"/>
        <s v="CUST5454"/>
        <s v="CUST9097"/>
        <s v="CUST6585"/>
        <s v="CUST9233"/>
        <s v="CUST9910"/>
        <s v="CUST7806"/>
        <s v="CUST4169"/>
        <s v="CUST8294"/>
        <s v="CUST1743"/>
        <s v="CUST9788"/>
        <s v="CUST2687"/>
        <s v="CUST2094"/>
        <s v="CUST4601"/>
        <s v="CUST3129"/>
        <s v="CUST3393"/>
        <s v="CUST5102"/>
        <s v="CUST8759"/>
        <s v="CUST1764"/>
        <s v="CUST2697"/>
        <s v="CUST6136"/>
        <s v="CUST1710"/>
        <s v="CUST9259"/>
        <s v="CUST8322"/>
        <s v="CUST6969"/>
        <s v="CUST9486"/>
        <s v="CUST4457"/>
        <s v="CUST9324"/>
        <s v="CUST9042"/>
        <s v="CUST8907"/>
        <s v="CUST1780"/>
        <s v="CUST2515"/>
        <s v="CUST7285"/>
        <s v="CUST3473"/>
        <s v="CUST9273"/>
        <s v="CUST8600"/>
        <s v="CUST2364"/>
        <s v="CUST1452"/>
        <s v="CUST7416"/>
        <s v="CUST7361"/>
        <s v="CUST6845"/>
        <s v="CUST8347"/>
        <s v="CUST8300"/>
        <s v="CUST4997"/>
        <s v="CUST2827"/>
        <s v="CUST8364"/>
        <s v="CUST1104"/>
        <s v="CUST3966"/>
        <s v="CUST6870"/>
        <s v="CUST3745"/>
        <s v="CUST6578"/>
        <s v="CUST9414"/>
        <s v="CUST9650"/>
        <s v="CUST7173"/>
        <s v="CUST2867"/>
        <s v="CUST1790"/>
        <s v="CUST7110"/>
        <s v="CUST3948"/>
        <s v="CUST1658"/>
        <s v="CUST1149"/>
        <s v="CUST3006"/>
        <s v="CUST8766"/>
        <s v="CUST6780"/>
        <s v="CUST3767"/>
        <s v="CUST4391"/>
        <s v="CUST1258"/>
        <s v="CUST6532"/>
        <s v="CUST7068"/>
        <s v="CUST1906"/>
        <s v="CUST6241"/>
        <s v="CUST4515"/>
        <s v="CUST1753"/>
        <s v="CUST3652"/>
        <s v="CUST8537"/>
        <s v="CUST8466"/>
        <s v="CUST3576"/>
        <s v="CUST3330"/>
        <s v="CUST9113"/>
        <s v="CUST7177"/>
        <s v="CUST8996"/>
        <s v="CUST2542"/>
        <s v="CUST2256"/>
        <s v="CUST7388"/>
        <s v="CUST9081"/>
        <s v="CUST9945"/>
        <s v="CUST9544"/>
        <s v="CUST9622"/>
        <s v="CUST1312"/>
        <s v="CUST6504"/>
        <s v="CUST7249"/>
        <s v="CUST6938"/>
        <s v="CUST2705"/>
        <s v="CUST6236"/>
        <s v="CUST8065"/>
        <s v="CUST1246"/>
        <s v="CUST8578"/>
        <s v="CUST5005"/>
        <s v="CUST9882"/>
        <s v="CUST3194"/>
        <s v="CUST1339"/>
        <s v="CUST4034"/>
        <s v="CUST5113"/>
        <s v="CUST9297"/>
        <s v="CUST1766"/>
        <s v="CUST5988"/>
        <s v="CUST3625"/>
        <s v="CUST2953"/>
        <s v="CUST2448"/>
        <s v="CUST6932"/>
        <s v="CUST9159"/>
        <s v="CUST1822"/>
        <s v="CUST5945"/>
        <s v="CUST2006"/>
        <s v="CUST5418"/>
        <s v="CUST7413"/>
        <s v="CUST4381"/>
        <s v="CUST1334"/>
        <s v="CUST9284"/>
        <s v="CUST5406"/>
        <s v="CUST6206"/>
        <s v="CUST2457"/>
        <s v="CUST2650"/>
        <s v="CUST8904"/>
        <s v="CUST8871"/>
        <s v="CUST8318"/>
        <s v="CUST6531"/>
        <s v="CUST4655"/>
        <s v="CUST9469"/>
        <s v="CUST6631"/>
        <s v="CUST9381"/>
        <s v="CUST1256"/>
        <s v="CUST1841"/>
        <s v="CUST9379"/>
        <s v="CUST6783"/>
        <s v="CUST8039"/>
        <s v="CUST2632"/>
        <s v="CUST3723"/>
        <s v="CUST4167"/>
        <s v="CUST8000"/>
        <s v="CUST2835"/>
        <s v="CUST9966"/>
        <s v="CUST9303"/>
        <s v="CUST3089"/>
        <s v="CUST7042"/>
        <s v="CUST9612"/>
        <s v="CUST2520"/>
        <s v="CUST8820"/>
        <s v="CUST1468"/>
        <s v="CUST9700"/>
        <s v="CUST1840"/>
        <s v="CUST3107"/>
        <s v="CUST9111"/>
        <s v="CUST4438"/>
        <s v="CUST8128"/>
        <s v="CUST4488"/>
        <s v="CUST1991"/>
        <s v="CUST6678"/>
        <s v="CUST8268"/>
        <s v="CUST4810"/>
        <s v="CUST6589"/>
        <s v="CUST8708"/>
        <s v="CUST5516"/>
        <s v="CUST3237"/>
        <s v="CUST6288"/>
        <s v="CUST3682"/>
        <s v="CUST4110"/>
        <s v="CUST2597"/>
        <s v="CUST4270"/>
        <s v="CUST8962"/>
        <s v="CUST4742"/>
        <s v="CUST4037"/>
        <s v="CUST8877"/>
        <s v="CUST5477"/>
        <s v="CUST3850"/>
        <s v="CUST5295"/>
        <s v="CUST4553"/>
        <s v="CUST7522"/>
        <s v="CUST1987"/>
        <s v="CUST8851"/>
        <s v="CUST6348"/>
        <s v="CUST2604"/>
        <s v="CUST9515"/>
        <s v="CUST6279"/>
        <s v="CUST8729"/>
        <s v="CUST6752"/>
        <s v="CUST7724"/>
        <s v="CUST7650"/>
        <s v="CUST2969"/>
        <s v="CUST3298"/>
        <s v="CUST2859"/>
        <s v="CUST5718"/>
        <s v="CUST3189"/>
        <s v="CUST6442"/>
        <s v="CUST1960"/>
        <s v="CUST8754"/>
        <s v="CUST6540"/>
        <s v="CUST5605"/>
        <s v="CUST8704"/>
        <s v="CUST6067"/>
        <s v="CUST5585"/>
        <s v="CUST1026"/>
        <s v="CUST2834"/>
        <s v="CUST4973"/>
        <s v="CUST3430"/>
        <s v="CUST4112"/>
        <s v="CUST4651"/>
        <s v="CUST2260"/>
        <s v="CUST1122"/>
        <s v="CUST8381"/>
        <s v="CUST4337"/>
        <s v="CUST4869"/>
        <s v="CUST6389"/>
        <s v="CUST9770"/>
        <s v="CUST2903"/>
        <s v="CUST2482"/>
        <s v="CUST2003"/>
        <s v="CUST5063"/>
        <s v="CUST9565"/>
        <s v="CUST9325"/>
        <s v="CUST7988"/>
        <s v="CUST4943"/>
        <s v="CUST1557"/>
        <s v="CUST2411"/>
        <s v="CUST9745"/>
        <s v="CUST2290"/>
        <s v="CUST7037"/>
        <s v="CUST7277"/>
        <s v="CUST3210"/>
        <s v="CUST2079"/>
        <s v="CUST9577"/>
        <s v="CUST3054"/>
        <s v="CUST4829"/>
        <s v="CUST1928"/>
        <s v="CUST3887"/>
        <s v="CUST2295"/>
        <s v="CUST4062"/>
        <s v="CUST8722"/>
        <s v="CUST3002"/>
        <s v="CUST2428"/>
        <s v="CUST6727"/>
        <s v="CUST7613"/>
        <s v="CUST7315"/>
        <s v="CUST6522"/>
        <s v="CUST6082"/>
        <s v="CUST6584"/>
        <s v="CUST6444"/>
        <s v="CUST5097"/>
        <s v="CUST9248"/>
        <s v="CUST4845"/>
        <s v="CUST1516"/>
        <s v="CUST4527"/>
        <s v="CUST5933"/>
        <s v="CUST2599"/>
        <s v="CUST3891"/>
        <s v="CUST9557"/>
        <s v="CUST1170"/>
        <s v="CUST7104"/>
        <s v="CUST9485"/>
        <s v="CUST9022"/>
        <s v="CUST2137"/>
        <s v="CUST5430"/>
        <s v="CUST7937"/>
        <s v="CUST8515"/>
        <s v="CUST9125"/>
        <s v="CUST7374"/>
        <s v="CUST3741"/>
        <s v="CUST7981"/>
        <s v="CUST7494"/>
        <s v="CUST3747"/>
        <s v="CUST9282"/>
        <s v="CUST6704"/>
        <s v="CUST8023"/>
        <s v="CUST7283"/>
        <s v="CUST6706"/>
        <s v="CUST5233"/>
        <s v="CUST8700"/>
        <s v="CUST1419"/>
        <s v="CUST2039"/>
        <s v="CUST3623"/>
        <s v="CUST5431"/>
        <s v="CUST8399"/>
        <s v="CUST8595"/>
        <s v="CUST7226"/>
        <s v="CUST9449"/>
        <s v="CUST4417"/>
        <s v="CUST9123"/>
        <s v="CUST5178"/>
        <s v="CUST6432"/>
        <s v="CUST9384"/>
        <s v="CUST9562"/>
        <s v="CUST5154"/>
        <s v="CUST2794"/>
        <s v="CUST1433"/>
        <s v="CUST7093"/>
        <s v="CUST3285"/>
        <s v="CUST2093"/>
        <s v="CUST8390"/>
        <s v="CUST3138"/>
        <s v="CUST9674"/>
        <s v="CUST6621"/>
        <s v="CUST7824"/>
        <s v="CUST8834"/>
        <s v="CUST2369"/>
        <s v="CUST3260"/>
        <s v="CUST9962"/>
        <s v="CUST8242"/>
        <s v="CUST4901"/>
        <s v="CUST4941"/>
        <s v="CUST4979"/>
        <s v="CUST6162"/>
        <s v="CUST5389"/>
        <s v="CUST7544"/>
        <s v="CUST3744"/>
        <s v="CUST5319"/>
        <s v="CUST7473"/>
        <s v="CUST7091"/>
        <s v="CUST1691"/>
        <s v="CUST9027"/>
        <s v="CUST5136"/>
        <s v="CUST5762"/>
        <s v="CUST4977"/>
        <s v="CUST6309"/>
        <s v="CUST7186"/>
        <s v="CUST7405"/>
        <s v="CUST4077"/>
        <s v="CUST3499"/>
        <s v="CUST9175"/>
        <s v="CUST9009"/>
        <s v="CUST3759"/>
        <s v="CUST6311"/>
        <s v="CUST7757"/>
        <s v="CUST6511"/>
        <s v="CUST1603"/>
        <s v="CUST2967"/>
        <s v="CUST9092"/>
        <s v="CUST1758"/>
        <s v="CUST3228"/>
        <s v="CUST1038"/>
        <s v="CUST6413"/>
        <s v="CUST8660"/>
        <s v="CUST8036"/>
        <s v="CUST6149"/>
        <s v="CUST2062"/>
        <s v="CUST8841"/>
        <s v="CUST1808"/>
        <s v="CUST9846"/>
        <s v="CUST7462"/>
        <s v="CUST4881"/>
        <s v="CUST2796"/>
        <s v="CUST9354"/>
        <s v="CUST2286"/>
        <s v="CUST3677"/>
        <s v="CUST6627"/>
        <s v="CUST2870"/>
        <s v="CUST4751"/>
        <s v="CUST2863"/>
        <s v="CUST5211"/>
        <s v="CUST3714"/>
        <s v="CUST5036"/>
        <s v="CUST3564"/>
        <s v="CUST3417"/>
        <s v="CUST7187"/>
        <s v="CUST2779"/>
        <s v="CUST6564"/>
        <s v="CUST7659"/>
        <s v="CUST5214"/>
        <s v="CUST3668"/>
        <s v="CUST4629"/>
        <s v="CUST9047"/>
        <s v="CUST8067"/>
        <s v="CUST8686"/>
        <s v="CUST4737"/>
        <s v="CUST1636"/>
        <s v="CUST7152"/>
        <s v="CUST9552"/>
        <s v="CUST3059"/>
        <s v="CUST1088"/>
        <s v="CUST8195"/>
        <s v="CUST1231"/>
        <s v="CUST7625"/>
        <s v="CUST5057"/>
        <s v="CUST6142"/>
        <s v="CUST3607"/>
        <s v="CUST1481"/>
        <s v="CUST6180"/>
        <s v="CUST6037"/>
        <s v="CUST5778"/>
        <s v="CUST1528"/>
        <s v="CUST4703"/>
        <s v="CUST4598"/>
        <s v="CUST2956"/>
        <s v="CUST4284"/>
        <s v="CUST4849"/>
        <s v="CUST3773"/>
        <s v="CUST2680"/>
        <s v="CUST7564"/>
        <s v="CUST3024"/>
        <s v="CUST4264"/>
        <s v="CUST8691"/>
        <s v="CUST6862"/>
        <s v="CUST8947"/>
        <s v="CUST8200"/>
        <s v="CUST1124"/>
        <s v="CUST2394"/>
        <s v="CUST4569"/>
        <s v="CUST6748"/>
        <s v="CUST3316"/>
        <s v="CUST5206"/>
        <s v="CUST5791"/>
        <s v="CUST2343"/>
        <s v="CUST9181"/>
        <s v="CUST8098"/>
        <s v="CUST1094"/>
        <s v="CUST8075"/>
        <s v="CUST4483"/>
        <s v="CUST3497"/>
        <s v="CUST1994"/>
        <s v="CUST1106"/>
        <s v="CUST7844"/>
        <s v="CUST6921"/>
        <s v="CUST6658"/>
        <s v="CUST6096"/>
        <s v="CUST7615"/>
        <s v="CUST8017"/>
        <s v="CUST5624"/>
        <s v="CUST9339"/>
        <s v="CUST2921"/>
        <s v="CUST1637"/>
        <s v="CUST6815"/>
        <s v="CUST5240"/>
        <s v="CUST3566"/>
        <s v="CUST3542"/>
        <s v="CUST5419"/>
        <s v="CUST2551"/>
        <s v="CUST1618"/>
        <s v="CUST9514"/>
        <s v="CUST6719"/>
        <s v="CUST5851"/>
        <s v="CUST6933"/>
        <s v="CUST8453"/>
        <s v="CUST9804"/>
        <s v="CUST5876"/>
        <s v="CUST5432"/>
        <s v="CUST8575"/>
        <s v="CUST3679"/>
        <s v="CUST9817"/>
        <s v="CUST2202"/>
        <s v="CUST2757"/>
        <s v="CUST8849"/>
        <s v="CUST1611"/>
        <s v="CUST1806"/>
        <s v="CUST4730"/>
        <s v="CUST3438"/>
        <s v="CUST5025"/>
        <s v="CUST1997"/>
        <s v="CUST5338"/>
        <s v="CUST2836"/>
        <s v="CUST2126"/>
        <s v="CUST8908"/>
        <s v="CUST5523"/>
        <s v="CUST1017"/>
        <s v="CUST2350"/>
        <s v="CUST7587"/>
        <s v="CUST6618"/>
        <s v="CUST7588"/>
        <s v="CUST6707"/>
        <s v="CUST6791"/>
        <s v="CUST2236"/>
        <s v="CUST3602"/>
        <s v="CUST9812"/>
        <s v="CUST6821"/>
        <s v="CUST6228"/>
        <s v="CUST9319"/>
        <s v="CUST3618"/>
        <s v="CUST1197"/>
        <s v="CUST3080"/>
        <s v="CUST7801"/>
        <s v="CUST4686"/>
        <s v="CUST1662"/>
        <s v="CUST6173"/>
        <s v="CUST6538"/>
        <s v="CUST8229"/>
        <s v="CUST5249"/>
        <s v="CUST8154"/>
        <s v="CUST9253"/>
        <s v="CUST9709"/>
        <s v="CUST6467"/>
        <s v="CUST3281"/>
        <s v="CUST9724"/>
        <s v="CUST1032"/>
        <s v="CUST4482"/>
        <s v="CUST5569"/>
        <s v="CUST3440"/>
        <s v="CUST6655"/>
        <s v="CUST3459"/>
        <s v="CUST9619"/>
        <s v="CUST1189"/>
        <s v="CUST6806"/>
        <s v="CUST5702"/>
        <s v="CUST4758"/>
        <s v="CUST6258"/>
        <s v="CUST5010"/>
        <s v="CUST5133"/>
        <s v="CUST5244"/>
        <s v="CUST6654"/>
        <s v="CUST8513"/>
        <s v="CUST3537"/>
        <s v="CUST8124"/>
        <s v="CUST1252"/>
        <s v="CUST9488"/>
        <s v="CUST3004"/>
        <s v="CUST7504"/>
        <s v="CUST7219"/>
        <s v="CUST4584"/>
        <s v="CUST7016"/>
        <s v="CUST2672"/>
        <s v="CUST9957"/>
        <s v="CUST4602"/>
        <s v="CUST2644"/>
        <s v="CUST4532"/>
        <s v="CUST6697"/>
        <s v="CUST8338"/>
        <s v="CUST2832"/>
        <s v="CUST4103"/>
        <s v="CUST9518"/>
        <s v="CUST8058"/>
        <s v="CUST7600"/>
        <s v="CUST6571"/>
        <s v="CUST7787"/>
        <s v="CUST3327"/>
        <s v="CUST4888"/>
        <s v="CUST1442"/>
        <s v="CUST1396"/>
        <s v="CUST9132"/>
        <s v="CUST3987"/>
        <s v="CUST4073"/>
        <s v="CUST7164"/>
        <s v="CUST2804"/>
        <s v="CUST7609"/>
        <s v="CUST2586"/>
        <s v="CUST6316"/>
        <s v="CUST2403"/>
        <s v="CUST5726"/>
        <s v="CUST1159"/>
        <s v="CUST9871"/>
        <s v="CUST9351"/>
        <s v="CUST2157"/>
        <s v="CUST4132"/>
        <s v="CUST1443"/>
        <s v="CUST7944"/>
        <s v="CUST5835"/>
        <s v="CUST6714"/>
        <s v="CUST1090"/>
        <s v="CUST8859"/>
        <s v="CUST8502"/>
        <s v="CUST9718"/>
        <s v="CUST3867"/>
      </sharedItems>
    </cacheField>
    <cacheField name="Customer_Name" numFmtId="0">
      <sharedItems>
        <s v="Customer_227"/>
        <s v="Customer_182"/>
        <s v="Customer_487"/>
        <s v="Customer_380"/>
        <s v="Customer_205"/>
        <s v="Customer_151"/>
        <s v="Customer_345"/>
        <s v="Customer_409"/>
        <s v="Customer_20"/>
        <s v="Customer_53"/>
        <s v="Customer_115"/>
        <s v="Customer_317"/>
        <s v="Customer_375"/>
        <s v="Customer_302"/>
        <s v="Customer_355"/>
        <s v="Customer_92"/>
        <s v="Customer_230"/>
        <s v="Customer_478"/>
        <s v="Customer_265"/>
        <s v="Customer_280"/>
        <s v="Customer_274"/>
        <s v="Customer_6"/>
        <s v="Customer_67"/>
        <s v="Customer_176"/>
        <s v="Customer_15"/>
        <s v="Customer_36"/>
        <s v="Customer_347"/>
        <s v="Customer_360"/>
        <s v="Customer_348"/>
        <s v="Customer_225"/>
        <s v="Customer_104"/>
        <s v="Customer_48"/>
        <s v="Customer_122"/>
        <s v="Customer_404"/>
        <s v="Customer_413"/>
        <s v="Customer_434"/>
        <s v="Customer_492"/>
        <s v="Customer_390"/>
        <s v="Customer_99"/>
        <s v="Customer_397"/>
        <s v="Customer_1"/>
        <s v="Customer_47"/>
        <s v="Customer_32"/>
        <s v="Customer_27"/>
        <s v="Customer_267"/>
        <s v="Customer_103"/>
        <s v="Customer_216"/>
        <s v="Customer_222"/>
        <s v="Customer_249"/>
        <s v="Customer_463"/>
        <s v="Customer_376"/>
        <s v="Customer_496"/>
        <s v="Customer_433"/>
        <s v="Customer_89"/>
        <s v="Customer_357"/>
        <s v="Customer_192"/>
        <s v="Customer_242"/>
        <s v="Customer_56"/>
        <s v="Customer_120"/>
        <s v="Customer_288"/>
        <s v="Customer_448"/>
        <s v="Customer_16"/>
        <s v="Customer_468"/>
        <s v="Customer_367"/>
        <s v="Customer_168"/>
        <s v="Customer_96"/>
        <s v="Customer_338"/>
        <s v="Customer_180"/>
        <s v="Customer_365"/>
        <s v="Customer_139"/>
        <s v="Customer_83"/>
        <s v="Customer_270"/>
        <s v="Customer_25"/>
        <s v="Customer_125"/>
        <s v="Customer_407"/>
        <s v="Customer_235"/>
        <s v="Customer_426"/>
        <s v="Customer_269"/>
        <s v="Customer_466"/>
        <s v="Customer_165"/>
        <s v="Customer_300"/>
        <s v="Customer_350"/>
        <s v="Customer_200"/>
        <s v="Customer_453"/>
        <s v="Customer_422"/>
        <s v="Customer_189"/>
        <s v="Customer_233"/>
        <s v="Customer_70"/>
        <s v="Customer_167"/>
        <s v="Customer_34"/>
        <s v="Customer_163"/>
        <s v="Customer_391"/>
        <s v="Customer_134"/>
        <s v="Customer_335"/>
        <s v="Customer_287"/>
        <s v="Customer_281"/>
        <s v="Customer_352"/>
        <s v="Customer_443"/>
        <s v="Customer_438"/>
        <s v="Customer_105"/>
        <s v="Customer_232"/>
        <s v="Customer_42"/>
        <s v="Customer_393"/>
        <s v="Customer_191"/>
        <s v="Customer_133"/>
        <s v="Customer_209"/>
        <s v="Customer_457"/>
        <s v="Customer_305"/>
        <s v="Customer_162"/>
        <s v="Customer_313"/>
        <s v="Customer_161"/>
        <s v="Customer_415"/>
        <s v="Customer_78"/>
        <s v="Customer_408"/>
        <s v="Customer_11"/>
        <s v="Customer_51"/>
        <s v="Customer_7"/>
        <s v="Customer_179"/>
        <s v="Customer_370"/>
        <s v="Customer_8"/>
        <s v="Customer_489"/>
        <s v="Customer_363"/>
        <s v="Customer_66"/>
        <s v="Customer_144"/>
        <s v="Customer_94"/>
        <s v="Customer_384"/>
        <s v="Customer_108"/>
        <s v="Customer_412"/>
        <s v="Customer_138"/>
        <s v="Customer_157"/>
        <s v="Customer_385"/>
        <s v="Customer_58"/>
        <s v="Customer_141"/>
        <s v="Customer_224"/>
        <s v="Customer_369"/>
        <s v="Customer_286"/>
        <s v="Customer_427"/>
        <s v="Customer_264"/>
        <s v="Customer_59"/>
        <s v="Customer_172"/>
        <s v="Customer_221"/>
        <s v="Customer_266"/>
        <s v="Customer_80"/>
        <s v="Customer_331"/>
        <s v="Customer_156"/>
        <s v="Customer_194"/>
        <s v="Customer_38"/>
        <s v="Customer_304"/>
        <s v="Customer_26"/>
        <s v="Customer_423"/>
        <s v="Customer_498"/>
        <s v="Customer_482"/>
        <s v="Customer_57"/>
        <s v="Customer_254"/>
        <s v="Customer_4"/>
        <s v="Customer_353"/>
        <s v="Customer_3"/>
        <s v="Customer_256"/>
        <s v="Customer_327"/>
        <s v="Customer_312"/>
        <s v="Customer_344"/>
        <s v="Customer_394"/>
        <s v="Customer_377"/>
        <s v="Customer_290"/>
        <s v="Customer_218"/>
        <s v="Customer_214"/>
        <s v="Customer_386"/>
        <s v="Customer_31"/>
        <s v="Customer_268"/>
        <s v="Customer_160"/>
        <s v="Customer_392"/>
        <s v="Customer_323"/>
        <s v="Customer_90"/>
        <s v="Customer_495"/>
        <s v="Customer_461"/>
        <s v="Customer_460"/>
        <s v="Customer_63"/>
        <s v="Customer_362"/>
        <s v="Customer_116"/>
        <s v="Customer_245"/>
        <s v="Customer_184"/>
        <s v="Customer_378"/>
        <s v="Customer_102"/>
        <s v="Customer_158"/>
        <s v="Customer_13"/>
        <s v="Customer_71"/>
        <s v="Customer_82"/>
        <s v="Customer_359"/>
        <s v="Customer_239"/>
        <s v="Customer_293"/>
        <s v="Customer_361"/>
        <s v="Customer_285"/>
        <s v="Customer_37"/>
        <s v="Customer_241"/>
        <s v="Customer_499"/>
        <s v="Customer_388"/>
        <s v="Customer_315"/>
        <s v="Customer_277"/>
        <s v="Customer_62"/>
        <s v="Customer_395"/>
        <s v="Customer_308"/>
        <s v="Customer_341"/>
        <s v="Customer_166"/>
        <s v="Customer_258"/>
        <s v="Customer_400"/>
        <s v="Customer_98"/>
        <s v="Customer_244"/>
        <s v="Customer_491"/>
        <s v="Customer_22"/>
        <s v="Customer_193"/>
        <s v="Customer_19"/>
        <s v="Customer_101"/>
        <s v="Customer_297"/>
        <s v="Customer_2"/>
        <s v="Customer_263"/>
        <s v="Customer_444"/>
        <s v="Customer_257"/>
        <s v="Customer_248"/>
        <s v="Customer_223"/>
        <s v="Customer_202"/>
        <s v="Customer_296"/>
        <s v="Customer_148"/>
        <s v="Customer_183"/>
        <s v="Customer_322"/>
        <s v="Customer_334"/>
        <s v="Customer_173"/>
        <s v="Customer_417"/>
        <s v="Customer_309"/>
        <s v="Customer_132"/>
        <s v="Customer_85"/>
        <s v="Customer_60"/>
        <s v="Customer_40"/>
        <s v="Customer_458"/>
        <s v="Customer_455"/>
        <s v="Customer_79"/>
        <s v="Customer_12"/>
        <s v="Customer_146"/>
        <s v="Customer_336"/>
        <s v="Customer_431"/>
        <s v="Customer_206"/>
        <s v="Customer_500"/>
        <s v="Customer_81"/>
        <s v="Customer_9"/>
        <s v="Customer_316"/>
        <s v="Customer_366"/>
        <s v="Customer_472"/>
        <s v="Customer_440"/>
        <s v="Customer_462"/>
        <s v="Customer_303"/>
        <s v="Customer_343"/>
        <s v="Customer_465"/>
        <s v="Customer_39"/>
        <s v="Customer_177"/>
        <s v="Customer_226"/>
        <s v="Customer_126"/>
        <s v="Customer_452"/>
        <s v="Customer_107"/>
        <s v="Customer_425"/>
        <s v="Customer_301"/>
        <s v="Customer_154"/>
        <s v="Customer_484"/>
        <s v="Customer_396"/>
        <s v="Customer_234"/>
        <s v="Customer_45"/>
        <s v="Customer_318"/>
        <s v="Customer_84"/>
        <s v="Customer_121"/>
        <s v="Customer_95"/>
        <s v="Customer_374"/>
        <s v="Customer_187"/>
        <s v="Customer_279"/>
        <s v="Customer_273"/>
        <s v="Customer_295"/>
        <s v="Customer_449"/>
        <s v="Customer_243"/>
        <s v="Customer_410"/>
        <s v="Customer_181"/>
        <s v="Customer_382"/>
        <s v="Customer_204"/>
        <s v="Customer_368"/>
        <s v="Customer_420"/>
        <s v="Customer_485"/>
        <s v="Customer_110"/>
        <s v="Customer_307"/>
        <s v="Customer_229"/>
        <s v="Customer_190"/>
        <s v="Customer_175"/>
        <s v="Customer_416"/>
        <s v="Customer_155"/>
        <s v="Customer_328"/>
        <s v="Customer_276"/>
        <s v="Customer_429"/>
        <s v="Customer_212"/>
        <s v="Customer_354"/>
        <s v="Customer_250"/>
        <s v="Customer_219"/>
        <s v="Customer_493"/>
        <s v="Customer_68"/>
        <s v="Customer_159"/>
        <s v="Customer_337"/>
        <s v="Customer_236"/>
        <s v="Customer_371"/>
        <s v="Customer_325"/>
        <s v="Customer_44"/>
        <s v="Customer_324"/>
        <s v="Customer_14"/>
        <s v="Customer_140"/>
        <s v="Customer_262"/>
        <s v="Customer_470"/>
        <s v="Customer_106"/>
        <s v="Customer_76"/>
        <s v="Customer_436"/>
        <s v="Customer_494"/>
        <s v="Customer_450"/>
        <s v="Customer_284"/>
        <s v="Customer_117"/>
        <s v="Customer_114"/>
        <s v="Customer_271"/>
        <s v="Customer_488"/>
        <s v="Customer_319"/>
        <s v="Customer_435"/>
        <s v="Customer_174"/>
        <s v="Customer_49"/>
        <s v="Customer_131"/>
        <s v="Customer_364"/>
        <s v="Customer_164"/>
        <s v="Customer_18"/>
        <s v="Customer_152"/>
        <s v="Customer_129"/>
        <s v="Customer_321"/>
        <s v="Customer_208"/>
        <s v="Customer_113"/>
        <s v="Customer_275"/>
        <s v="Customer_199"/>
        <s v="Customer_339"/>
        <s v="Customer_137"/>
        <s v="Customer_93"/>
        <s v="Customer_441"/>
        <s v="Customer_414"/>
        <s v="Customer_73"/>
        <s v="Customer_35"/>
        <s v="Customer_118"/>
        <s v="Customer_356"/>
        <s v="Customer_52"/>
        <s v="Customer_97"/>
        <s v="Customer_72"/>
        <s v="Customer_251"/>
        <s v="Customer_10"/>
        <s v="Customer_77"/>
        <s v="Customer_23"/>
        <s v="Customer_289"/>
        <s v="Customer_445"/>
        <s v="Customer_447"/>
        <s v="Customer_112"/>
        <s v="Customer_50"/>
        <s v="Customer_383"/>
        <s v="Customer_198"/>
        <s v="Customer_87"/>
        <s v="Customer_292"/>
        <s v="Customer_195"/>
        <s v="Customer_320"/>
        <s v="Customer_17"/>
        <s v="Customer_475"/>
        <s v="Customer_127"/>
        <s v="Customer_432"/>
        <s v="Customer_283"/>
        <s v="Customer_451"/>
        <s v="Customer_401"/>
        <s v="Customer_43"/>
        <s v="Customer_333"/>
        <s v="Customer_196"/>
        <s v="Customer_188"/>
        <s v="Customer_215"/>
        <s v="Customer_421"/>
        <s v="Customer_178"/>
        <s v="Customer_170"/>
        <s v="Customer_428"/>
        <s v="Customer_259"/>
        <s v="Customer_237"/>
        <s v="Customer_372"/>
        <s v="Customer_153"/>
        <s v="Customer_150"/>
        <s v="Customer_424"/>
        <s v="Customer_483"/>
        <s v="Customer_454"/>
        <s v="Customer_490"/>
        <s v="Customer_213"/>
        <s v="Customer_298"/>
        <s v="Customer_379"/>
        <s v="Customer_389"/>
        <s v="Customer_471"/>
        <s v="Customer_459"/>
        <s v="Customer_260"/>
        <s v="Customer_149"/>
        <s v="Customer_142"/>
        <s v="Customer_340"/>
        <s v="Customer_346"/>
        <s v="Customer_332"/>
        <s v="Customer_252"/>
        <s v="Customer_147"/>
        <s v="Customer_74"/>
        <s v="Customer_238"/>
        <s v="Customer_91"/>
        <s v="Customer_109"/>
        <s v="Customer_135"/>
        <s v="Customer_469"/>
        <s v="Customer_430"/>
        <s v="Customer_418"/>
        <s v="Customer_481"/>
        <s v="Customer_437"/>
        <s v="Customer_387"/>
        <s v="Customer_311"/>
        <s v="Customer_419"/>
        <s v="Customer_473"/>
        <s v="Customer_220"/>
        <s v="Customer_28"/>
        <s v="Customer_381"/>
        <s v="Customer_46"/>
        <s v="Customer_86"/>
        <s v="Customer_21"/>
        <s v="Customer_88"/>
        <s v="Customer_479"/>
        <s v="Customer_210"/>
        <s v="Customer_282"/>
        <s v="Customer_54"/>
      </sharedItems>
    </cacheField>
    <cacheField name="Age" numFmtId="0">
      <sharedItems containsString="0" containsBlank="1" containsNumber="1" containsInteger="1">
        <n v="30.0"/>
        <n v="63.0"/>
        <n v="62.0"/>
        <n v="44.0"/>
        <n v="38.0"/>
        <n v="46.0"/>
        <n v="58.0"/>
        <n v="55.0"/>
        <n v="18.0"/>
        <n v="50.0"/>
        <n v="22.0"/>
        <n v="47.0"/>
        <n v="48.0"/>
        <n v="65.0"/>
        <n v="52.0"/>
        <n v="64.0"/>
        <n v="60.0"/>
        <n v="61.0"/>
        <n v="35.0"/>
        <n v="49.0"/>
        <n v="24.0"/>
        <n v="27.0"/>
        <n v="20.0"/>
        <n v="41.0"/>
        <n v="32.0"/>
        <n v="23.0"/>
        <n v="21.0"/>
        <n v="25.0"/>
        <n v="54.0"/>
        <n v="33.0"/>
        <n v="31.0"/>
        <n v="26.0"/>
        <n v="37.0"/>
        <n v="56.0"/>
        <n v="34.0"/>
        <n v="45.0"/>
        <n v="39.0"/>
        <n v="57.0"/>
        <n v="36.0"/>
        <n v="19.0"/>
        <m/>
        <n v="59.0"/>
        <n v="28.0"/>
        <n v="51.0"/>
        <n v="42.0"/>
        <n v="43.0"/>
        <n v="40.0"/>
        <n v="53.0"/>
        <n v="29.0"/>
      </sharedItems>
    </cacheField>
    <cacheField name="Gender" numFmtId="0">
      <sharedItems>
        <s v="Female"/>
        <s v="Male"/>
      </sharedItems>
    </cacheField>
    <cacheField name="City" numFmtId="0">
      <sharedItems containsBlank="1">
        <s v="Bengaluru"/>
        <s v="Delhi"/>
        <s v="Gaya"/>
        <s v="Hyderabad"/>
        <s v="Kolkata"/>
        <s v="Mumbai"/>
        <s v="Patna"/>
        <s v="Pune"/>
        <m/>
      </sharedItems>
    </cacheField>
    <cacheField name="Product" numFmtId="0">
      <sharedItems>
        <s v="Rice"/>
        <s v="Book"/>
        <s v="Mobile"/>
        <s v="Laptop"/>
        <s v="Shoes"/>
        <s v="Chair"/>
      </sharedItems>
    </cacheField>
    <cacheField name="Category" numFmtId="0">
      <sharedItems>
        <s v="Grocery"/>
        <s v="Education"/>
        <s v="Electronics"/>
        <s v="Fashion"/>
        <s v="Furniture"/>
      </sharedItems>
    </cacheField>
    <cacheField name="Quantity" numFmtId="0">
      <sharedItems containsSemiMixedTypes="0" containsString="0" containsNumber="1" containsInteger="1">
        <n v="7.0"/>
        <n v="5.0"/>
        <n v="8.0"/>
        <n v="10.0"/>
        <n v="6.0"/>
        <n v="1.0"/>
        <n v="9.0"/>
        <n v="3.0"/>
        <n v="2.0"/>
        <n v="4.0"/>
      </sharedItems>
    </cacheField>
    <cacheField name="Unit_Price" numFmtId="165">
      <sharedItems containsSemiMixedTypes="0" containsString="0" containsNumber="1">
        <n v="2829.77"/>
        <n v="27906.16"/>
        <n v="37491.06"/>
        <n v="14036.59"/>
        <n v="21393.69"/>
        <n v="44911.49"/>
        <n v="29270.98"/>
        <n v="14399.11"/>
        <n v="41157.44"/>
        <n v="47669.63"/>
        <n v="44708.5"/>
        <n v="12290.45"/>
        <n v="21399.51"/>
        <n v="22437.16"/>
        <n v="29902.97"/>
        <n v="22563.72"/>
        <n v="37576.35"/>
        <n v="8092.78"/>
        <n v="18293.96"/>
        <n v="145.78"/>
        <n v="41054.72"/>
        <n v="31730.57"/>
        <n v="30139.27"/>
        <n v="10289.67"/>
        <n v="47959.38"/>
        <n v="4421.33"/>
        <n v="49086.64"/>
        <n v="20404.62"/>
        <n v="41626.11"/>
        <n v="33479.62"/>
        <n v="4504.89"/>
        <n v="2860.83"/>
        <n v="6218.47"/>
        <n v="10674.88"/>
        <n v="36587.03"/>
        <n v="34757.71"/>
        <n v="6110.1"/>
        <n v="25164.5"/>
        <n v="49665.71"/>
        <n v="48433.7"/>
        <n v="32403.32"/>
        <n v="43207.48"/>
        <n v="42935.06"/>
        <n v="1005.21"/>
        <n v="31855.44"/>
        <n v="18655.09"/>
        <n v="12137.54"/>
        <n v="32332.27"/>
        <n v="42538.14"/>
        <n v="8162.84"/>
        <n v="42733.08"/>
        <n v="47493.59"/>
        <n v="31028.12"/>
        <n v="48986.48"/>
        <n v="39453.46"/>
        <n v="16079.7"/>
        <n v="35804.49"/>
        <n v="30277.06"/>
        <n v="48807.37"/>
        <n v="1895.99"/>
        <n v="23003.28"/>
        <n v="26716.59"/>
        <n v="2209.43"/>
        <n v="11693.63"/>
        <n v="45809.09"/>
        <n v="46331.16"/>
        <n v="38957.59"/>
        <n v="2762.18"/>
        <n v="30210.72"/>
        <n v="47848.0"/>
        <n v="28506.81"/>
        <n v="27044.74"/>
        <n v="38032.02"/>
        <n v="26924.41"/>
        <n v="36327.94"/>
        <n v="38955.26"/>
        <n v="23079.96"/>
        <n v="45512.65"/>
        <n v="24382.42"/>
        <n v="7467.04"/>
        <n v="42941.88"/>
        <n v="8465.62"/>
        <n v="48299.85"/>
        <n v="6889.29"/>
        <n v="41268.06"/>
        <n v="17500.41"/>
        <n v="34508.6"/>
        <n v="12680.8"/>
        <n v="27885.58"/>
        <n v="39342.98"/>
        <n v="25359.39"/>
        <n v="49217.41"/>
        <n v="19819.95"/>
        <n v="36426.05"/>
        <n v="35023.55"/>
        <n v="35691.39"/>
        <n v="6282.93"/>
        <n v="39157.52"/>
        <n v="18842.34"/>
        <n v="44772.96"/>
        <n v="16882.56"/>
        <n v="21553.66"/>
        <n v="47413.32"/>
        <n v="48228.96"/>
        <n v="43357.83"/>
        <n v="47996.02"/>
        <n v="7779.34"/>
        <n v="7521.13"/>
        <n v="22929.61"/>
        <n v="39619.15"/>
        <n v="15799.46"/>
        <n v="9123.6"/>
        <n v="40522.56"/>
        <n v="46629.03"/>
        <n v="31015.64"/>
        <n v="4160.77"/>
        <n v="34619.77"/>
        <n v="30847.69"/>
        <n v="6287.85"/>
        <n v="31739.18"/>
        <n v="46852.2"/>
        <n v="26365.27"/>
        <n v="14151.42"/>
        <n v="20111.09"/>
        <n v="40109.12"/>
        <n v="40746.79"/>
        <n v="47649.61"/>
        <n v="4656.1"/>
        <n v="42345.82"/>
        <n v="33304.17"/>
        <n v="27366.58"/>
        <n v="13645.41"/>
        <n v="35862.34"/>
        <n v="17841.4"/>
        <n v="20498.74"/>
        <n v="47917.49"/>
        <n v="25002.72"/>
        <n v="36875.19"/>
        <n v="42943.17"/>
        <n v="20416.04"/>
        <n v="29735.57"/>
        <n v="16767.5"/>
        <n v="7642.84"/>
        <n v="1959.05"/>
        <n v="35489.21"/>
        <n v="14462.81"/>
        <n v="9508.4"/>
        <n v="39054.95"/>
        <n v="19829.73"/>
        <n v="14220.63"/>
        <n v="5810.2"/>
        <n v="35888.63"/>
        <n v="23875.09"/>
        <n v="20533.23"/>
        <n v="30974.95"/>
        <n v="1722.06"/>
        <n v="1935.28"/>
        <n v="33388.11"/>
        <n v="19261.81"/>
        <n v="38518.95"/>
        <n v="36943.51"/>
        <n v="33566.2"/>
        <n v="40682.5"/>
        <n v="42742.96"/>
        <n v="11513.96"/>
        <n v="17055.84"/>
        <n v="34976.79"/>
        <n v="38672.34"/>
        <n v="23398.57"/>
        <n v="15617.29"/>
        <n v="572.39"/>
        <n v="33928.27"/>
        <n v="12279.11"/>
        <n v="5060.75"/>
        <n v="43997.22"/>
        <n v="3146.73"/>
        <n v="28342.81"/>
        <n v="5815.69"/>
        <n v="41434.83"/>
        <n v="36242.41"/>
        <n v="36021.08"/>
        <n v="17074.46"/>
        <n v="33964.14"/>
        <n v="21084.4"/>
        <n v="33382.46"/>
        <n v="33234.99"/>
        <n v="13323.8"/>
        <n v="8028.98"/>
        <n v="42150.74"/>
        <n v="16249.69"/>
        <n v="48031.9"/>
        <n v="21466.01"/>
        <n v="36390.58"/>
        <n v="17302.3"/>
        <n v="6150.86"/>
        <n v="11122.7"/>
        <n v="37214.58"/>
        <n v="43567.37"/>
        <n v="14656.73"/>
        <n v="15515.24"/>
        <n v="20857.23"/>
        <n v="5129.02"/>
        <n v="5518.35"/>
        <n v="39988.02"/>
        <n v="33193.9"/>
        <n v="34302.92"/>
        <n v="16279.37"/>
        <n v="22106.78"/>
        <n v="10307.48"/>
        <n v="28065.77"/>
        <n v="31615.64"/>
        <n v="31076.31"/>
        <n v="23252.08"/>
        <n v="31567.62"/>
        <n v="44401.64"/>
        <n v="5467.01"/>
        <n v="21098.23"/>
        <n v="24270.17"/>
        <n v="14931.2"/>
        <n v="12121.61"/>
        <n v="17079.99"/>
        <n v="26771.99"/>
        <n v="49685.64"/>
        <n v="22843.06"/>
        <n v="5580.23"/>
        <n v="7543.31"/>
        <n v="48313.36"/>
        <n v="28263.33"/>
        <n v="2417.66"/>
        <n v="16661.37"/>
        <n v="6525.25"/>
        <n v="15061.67"/>
        <n v="42494.73"/>
        <n v="43613.07"/>
        <n v="21830.06"/>
        <n v="10404.98"/>
        <n v="35834.15"/>
        <n v="653.97"/>
        <n v="23886.69"/>
        <n v="49387.2"/>
        <n v="46866.95"/>
        <n v="24450.18"/>
        <n v="35028.53"/>
        <n v="32751.77"/>
        <n v="9989.04"/>
        <n v="25737.43"/>
        <n v="2879.01"/>
        <n v="7280.64"/>
        <n v="31576.5"/>
        <n v="21382.16"/>
        <n v="46822.84"/>
        <n v="47896.7"/>
        <n v="27164.06"/>
        <n v="8572.65"/>
        <n v="8883.45"/>
        <n v="13129.64"/>
        <n v="45747.37"/>
        <n v="24828.05"/>
        <n v="31217.12"/>
        <n v="38897.58"/>
        <n v="8547.07"/>
        <n v="2638.97"/>
        <n v="4391.72"/>
        <n v="25930.1"/>
        <n v="26281.83"/>
        <n v="39039.96"/>
        <n v="25138.42"/>
        <n v="30177.21"/>
        <n v="6898.4"/>
        <n v="20740.93"/>
        <n v="48833.27"/>
        <n v="40810.01"/>
        <n v="26781.39"/>
        <n v="34033.11"/>
        <n v="1481.0"/>
        <n v="8820.55"/>
        <n v="21001.73"/>
        <n v="46356.08"/>
        <n v="5518.32"/>
        <n v="17292.4"/>
        <n v="6459.95"/>
        <n v="46629.93"/>
        <n v="13138.1"/>
        <n v="7046.4"/>
        <n v="27900.36"/>
        <n v="12740.73"/>
        <n v="19538.67"/>
        <n v="14400.18"/>
        <n v="44751.42"/>
        <n v="46122.45"/>
        <n v="11761.9"/>
        <n v="43850.91"/>
        <n v="31722.52"/>
        <n v="24990.09"/>
        <n v="37176.15"/>
        <n v="23432.88"/>
        <n v="29297.53"/>
        <n v="1229.02"/>
        <n v="5988.17"/>
        <n v="19415.21"/>
        <n v="8654.13"/>
        <n v="26337.15"/>
        <n v="32289.77"/>
        <n v="7136.1"/>
        <n v="16360.67"/>
        <n v="5037.6"/>
        <n v="6567.81"/>
        <n v="37002.06"/>
        <n v="16321.45"/>
        <n v="767.61"/>
        <n v="40440.72"/>
        <n v="35318.2"/>
        <n v="47870.04"/>
        <n v="12514.53"/>
        <n v="40250.63"/>
        <n v="13606.65"/>
        <n v="26764.87"/>
        <n v="39050.88"/>
        <n v="18505.56"/>
        <n v="22060.0"/>
        <n v="7534.68"/>
        <n v="5789.5"/>
        <n v="38952.78"/>
        <n v="32432.65"/>
        <n v="46756.46"/>
        <n v="7739.33"/>
        <n v="33524.03"/>
        <n v="35120.83"/>
        <n v="25269.25"/>
        <n v="26936.34"/>
        <n v="38128.32"/>
        <n v="21720.56"/>
        <n v="4568.61"/>
        <n v="22734.66"/>
        <n v="26807.04"/>
        <n v="24462.54"/>
        <n v="19210.66"/>
        <n v="45959.58"/>
        <n v="17533.55"/>
        <n v="17824.96"/>
        <n v="8630.9"/>
        <n v="28107.77"/>
        <n v="40350.67"/>
        <n v="32483.32"/>
        <n v="21368.29"/>
        <n v="2716.24"/>
        <n v="8685.69"/>
        <n v="14145.7"/>
        <n v="33186.38"/>
        <n v="3051.95"/>
        <n v="26327.39"/>
        <n v="35430.53"/>
        <n v="43166.95"/>
        <n v="10131.58"/>
        <n v="42785.56"/>
        <n v="12754.35"/>
        <n v="8532.9"/>
        <n v="31899.76"/>
        <n v="6976.56"/>
        <n v="33517.79"/>
        <n v="46527.93"/>
        <n v="35405.54"/>
        <n v="18454.65"/>
        <n v="22493.87"/>
        <n v="35947.47"/>
        <n v="44365.94"/>
        <n v="1491.63"/>
        <n v="46235.96"/>
        <n v="41282.63"/>
        <n v="29219.72"/>
        <n v="5849.89"/>
        <n v="48845.5"/>
        <n v="13662.66"/>
        <n v="13111.39"/>
        <n v="15127.88"/>
        <n v="40745.55"/>
        <n v="42806.52"/>
        <n v="10391.75"/>
        <n v="41053.56"/>
        <n v="41640.74"/>
        <n v="16254.12"/>
        <n v="3805.27"/>
        <n v="46489.41"/>
        <n v="17321.68"/>
        <n v="1085.13"/>
        <n v="35300.11"/>
        <n v="25053.25"/>
        <n v="21856.64"/>
        <n v="2983.97"/>
        <n v="9132.85"/>
        <n v="18088.02"/>
        <n v="16714.64"/>
        <n v="17713.87"/>
        <n v="29838.32"/>
        <n v="15549.95"/>
        <n v="34192.3"/>
        <n v="12214.1"/>
        <n v="33205.94"/>
        <n v="25562.3"/>
        <n v="4159.17"/>
        <n v="44577.29"/>
        <n v="30855.5"/>
        <n v="32168.36"/>
        <n v="15948.34"/>
        <n v="25906.46"/>
        <n v="36331.75"/>
        <n v="45034.12"/>
        <n v="40768.5"/>
        <n v="6495.5"/>
        <n v="49876.67"/>
        <n v="40276.76"/>
        <n v="17270.72"/>
        <n v="8249.36"/>
        <n v="47319.13"/>
        <n v="28385.87"/>
        <n v="5053.68"/>
        <n v="41871.43"/>
        <n v="36239.15"/>
        <n v="26269.62"/>
        <n v="22534.47"/>
        <n v="25875.53"/>
        <n v="13857.45"/>
        <n v="7127.33"/>
        <n v="44045.66"/>
        <n v="35420.46"/>
        <n v="24297.48"/>
        <n v="33535.53"/>
        <n v="48011.48"/>
        <n v="27565.01"/>
        <n v="12494.97"/>
        <n v="32458.06"/>
        <n v="32104.55"/>
        <n v="13184.14"/>
        <n v="21017.46"/>
        <n v="1204.93"/>
        <n v="6301.32"/>
        <n v="47748.45"/>
        <n v="5442.06"/>
        <n v="10393.69"/>
        <n v="38029.64"/>
        <n v="48255.19"/>
        <n v="47466.18"/>
        <n v="46924.58"/>
        <n v="12255.87"/>
        <n v="1610.18"/>
        <n v="5632.88"/>
        <n v="16961.15"/>
        <n v="12194.92"/>
        <n v="22686.59"/>
        <n v="30019.56"/>
        <n v="17704.67"/>
        <n v="36277.76"/>
        <n v="19202.88"/>
        <n v="19284.6"/>
        <n v="17299.04"/>
        <n v="9442.5"/>
        <n v="32219.95"/>
        <n v="12225.22"/>
        <n v="988.45"/>
        <n v="45538.2"/>
        <n v="19454.75"/>
        <n v="32296.32"/>
        <n v="42593.69"/>
        <n v="36034.1"/>
        <n v="47021.1"/>
        <n v="38502.79"/>
        <n v="283.1"/>
        <n v="39484.31"/>
        <n v="6769.87"/>
        <n v="44811.59"/>
        <n v="36507.56"/>
        <n v="20357.35"/>
        <n v="9063.83"/>
        <n v="39424.04"/>
        <n v="3239.94"/>
        <n v="21496.95"/>
        <n v="4925.05"/>
        <n v="47743.08"/>
        <n v="45883.95"/>
        <n v="20319.29"/>
        <n v="31857.18"/>
        <n v="25138.65"/>
        <n v="42044.69"/>
        <n v="43146.39"/>
        <n v="38656.45"/>
        <n v="44566.74"/>
        <n v="5066.44"/>
        <n v="3375.35"/>
        <n v="12971.59"/>
        <n v="28541.36"/>
        <n v="9488.83"/>
        <n v="18024.34"/>
        <n v="23770.36"/>
        <n v="4794.08"/>
        <n v="29915.72"/>
        <n v="24854.05"/>
        <n v="5679.91"/>
        <n v="8905.49"/>
        <n v="349.06"/>
        <n v="3455.06"/>
        <n v="19437.88"/>
        <n v="5533.0"/>
        <n v="25795.55"/>
        <n v="33887.35"/>
        <n v="28572.4"/>
        <n v="28469.0"/>
        <n v="22636.01"/>
        <n v="1423.81"/>
        <n v="44336.38"/>
        <n v="26460.39"/>
        <n v="27608.55"/>
        <n v="16533.74"/>
        <n v="2636.28"/>
        <n v="34808.76"/>
        <n v="20308.85"/>
        <n v="28710.98"/>
        <n v="1655.36"/>
        <n v="44463.18"/>
        <n v="16404.25"/>
        <n v="22627.46"/>
        <n v="17100.29"/>
        <n v="3842.06"/>
        <n v="9509.13"/>
        <n v="43207.91"/>
        <n v="21816.67"/>
        <n v="16222.64"/>
        <n v="2247.11"/>
        <n v="31943.19"/>
        <n v="28464.26"/>
        <n v="6050.27"/>
        <n v="13054.61"/>
        <n v="34258.83"/>
        <n v="48695.59"/>
        <n v="24596.56"/>
        <n v="7231.17"/>
        <n v="28813.93"/>
        <n v="42427.93"/>
        <n v="48457.94"/>
        <n v="41096.75"/>
        <n v="9009.36"/>
        <n v="21020.37"/>
        <n v="28483.33"/>
        <n v="33800.83"/>
        <n v="4113.4"/>
        <n v="27766.56"/>
        <n v="18862.36"/>
        <n v="7268.14"/>
        <n v="25386.4"/>
        <n v="41886.87"/>
        <n v="19933.44"/>
        <n v="35113.98"/>
        <n v="6613.42"/>
        <n v="28280.37"/>
        <n v="43251.3"/>
        <n v="49058.94"/>
        <n v="44971.9"/>
        <n v="20074.3"/>
        <n v="11893.8"/>
        <n v="3595.82"/>
        <n v="30620.75"/>
        <n v="14770.13"/>
        <n v="3414.17"/>
        <n v="15846.45"/>
        <n v="14044.67"/>
        <n v="14181.47"/>
        <n v="28783.13"/>
        <n v="24291.82"/>
        <n v="23490.33"/>
        <n v="27547.81"/>
        <n v="35222.23"/>
        <n v="38583.88"/>
        <n v="17212.99"/>
        <n v="48276.39"/>
        <n v="40069.01"/>
        <n v="31937.15"/>
        <n v="45877.49"/>
        <n v="28222.97"/>
        <n v="37278.21"/>
        <n v="47079.86"/>
        <n v="30201.81"/>
        <n v="40635.52"/>
        <n v="24409.5"/>
        <n v="40119.65"/>
        <n v="33187.56"/>
        <n v="414.13"/>
        <n v="9761.46"/>
        <n v="1876.89"/>
        <n v="18457.22"/>
        <n v="10274.45"/>
        <n v="13304.47"/>
        <n v="25698.62"/>
        <n v="40783.14"/>
        <n v="11824.36"/>
        <n v="25110.56"/>
        <n v="43467.0"/>
        <n v="39662.1"/>
        <n v="14533.4"/>
        <n v="40391.3"/>
        <n v="20118.35"/>
        <n v="17304.91"/>
        <n v="47699.69"/>
        <n v="31690.41"/>
        <n v="21646.64"/>
        <n v="10921.12"/>
        <n v="31512.79"/>
        <n v="17944.07"/>
        <n v="7989.47"/>
        <n v="28747.47"/>
        <n v="23566.47"/>
        <n v="30091.26"/>
        <n v="42500.65"/>
        <n v="35959.07"/>
        <n v="12941.53"/>
        <n v="14207.04"/>
        <n v="3846.65"/>
        <n v="35023.64"/>
        <n v="30607.95"/>
        <n v="47314.42"/>
        <n v="13994.12"/>
        <n v="29215.06"/>
        <n v="48566.78"/>
        <n v="34835.55"/>
        <n v="19488.23"/>
        <n v="6122.59"/>
        <n v="15396.37"/>
        <n v="39414.46"/>
        <n v="23837.41"/>
        <n v="15831.03"/>
        <n v="21791.66"/>
        <n v="17556.08"/>
        <n v="3992.85"/>
        <n v="6210.24"/>
        <n v="20561.97"/>
        <n v="36809.08"/>
        <n v="29263.26"/>
        <n v="12169.49"/>
        <n v="45000.49"/>
        <n v="41677.34"/>
        <n v="13617.93"/>
        <n v="46263.01"/>
        <n v="24216.91"/>
        <n v="7093.9"/>
        <n v="41749.55"/>
        <n v="48642.53"/>
        <n v="42299.16"/>
        <n v="39830.65"/>
        <n v="8906.18"/>
        <n v="21792.76"/>
        <n v="27492.16"/>
        <n v="16041.29"/>
        <n v="18644.18"/>
        <n v="49347.28"/>
        <n v="17931.34"/>
        <n v="15331.09"/>
        <n v="44135.66"/>
        <n v="29646.26"/>
        <n v="28865.26"/>
        <n v="20619.08"/>
        <n v="15202.84"/>
        <n v="2599.12"/>
        <n v="22182.44"/>
        <n v="35006.3"/>
        <n v="13013.63"/>
        <n v="26823.14"/>
        <n v="25123.86"/>
        <n v="45718.65"/>
        <n v="25840.34"/>
        <n v="49012.25"/>
        <n v="42518.8"/>
        <n v="22806.21"/>
        <n v="41264.56"/>
        <n v="18223.06"/>
        <n v="46253.94"/>
        <n v="29804.26"/>
        <n v="24864.11"/>
        <n v="33771.26"/>
        <n v="47927.36"/>
        <n v="27530.02"/>
        <n v="24291.74"/>
        <n v="747.57"/>
        <n v="10702.89"/>
        <n v="7991.06"/>
        <n v="7062.57"/>
        <n v="49735.32"/>
        <n v="25461.32"/>
        <n v="16403.01"/>
        <n v="22666.98"/>
        <n v="8151.02"/>
        <n v="25036.53"/>
        <n v="30698.79"/>
        <n v="9146.39"/>
        <n v="33006.89"/>
        <n v="37614.58"/>
        <n v="21547.89"/>
        <n v="19565.23"/>
        <n v="18229.0"/>
        <n v="1286.36"/>
        <n v="11967.47"/>
        <n v="697.87"/>
        <n v="45095.75"/>
        <n v="27448.01"/>
        <n v="27971.17"/>
        <n v="46021.88"/>
        <n v="20626.25"/>
        <n v="39545.61"/>
        <n v="16240.66"/>
        <n v="38065.84"/>
        <n v="38368.41"/>
        <n v="21694.12"/>
        <n v="47401.02"/>
        <n v="49052.97"/>
        <n v="21599.35"/>
        <n v="24358.21"/>
        <n v="40754.69"/>
        <n v="20994.21"/>
        <n v="11808.33"/>
        <n v="11492.49"/>
        <n v="42642.59"/>
        <n v="36631.23"/>
        <n v="21435.84"/>
        <n v="12322.26"/>
        <n v="18178.32"/>
        <n v="38573.17"/>
        <n v="39243.45"/>
        <n v="47545.23"/>
        <n v="30197.53"/>
        <n v="17152.2"/>
        <n v="31849.44"/>
        <n v="9784.56"/>
        <n v="35093.39"/>
        <n v="31063.57"/>
        <n v="27648.52"/>
        <n v="40104.71"/>
        <n v="23757.31"/>
        <n v="7104.93"/>
        <n v="3220.99"/>
        <n v="16506.48"/>
        <n v="31247.14"/>
        <n v="40193.89"/>
        <n v="30743.1"/>
        <n v="10625.65"/>
        <n v="39917.24"/>
        <n v="27478.45"/>
        <n v="20191.53"/>
        <n v="23583.66"/>
        <n v="25618.42"/>
        <n v="33475.97"/>
        <n v="33480.07"/>
        <n v="24421.73"/>
        <n v="18013.26"/>
        <n v="34140.07"/>
        <n v="7279.34"/>
        <n v="37930.19"/>
        <n v="49997.53"/>
        <n v="47175.43"/>
        <n v="7413.68"/>
        <n v="12042.52"/>
        <n v="25465.31"/>
        <n v="11127.06"/>
        <n v="14534.79"/>
        <n v="16521.44"/>
        <n v="49367.75"/>
        <n v="17406.52"/>
        <n v="27337.64"/>
        <n v="10784.64"/>
        <n v="553.62"/>
        <n v="2814.55"/>
        <n v="36826.88"/>
        <n v="21391.19"/>
        <n v="18152.14"/>
        <n v="17041.21"/>
        <n v="41494.43"/>
        <n v="21833.32"/>
        <n v="40577.1"/>
        <n v="18967.46"/>
        <n v="38233.51"/>
        <n v="23674.97"/>
        <n v="37436.26"/>
        <n v="49390.42"/>
        <n v="31510.55"/>
        <n v="16633.85"/>
        <n v="25521.26"/>
        <n v="35658.89"/>
        <n v="49067.82"/>
        <n v="21609.52"/>
        <n v="46679.69"/>
        <n v="25277.79"/>
        <n v="46461.17"/>
        <n v="43576.14"/>
        <n v="29255.02"/>
        <n v="47201.84"/>
        <n v="36171.66"/>
        <n v="47311.77"/>
        <n v="7528.42"/>
        <n v="17696.96"/>
        <n v="1106.55"/>
        <n v="39075.07"/>
        <n v="40763.95"/>
        <n v="3727.43"/>
        <n v="46771.94"/>
        <n v="5803.11"/>
        <n v="10075.98"/>
        <n v="45988.02"/>
        <n v="22233.15"/>
        <n v="10932.32"/>
        <n v="12839.38"/>
        <n v="21152.92"/>
        <n v="7876.48"/>
        <n v="26179.81"/>
        <n v="1793.29"/>
        <n v="36062.36"/>
        <n v="24194.96"/>
        <n v="14441.39"/>
        <n v="39636.15"/>
        <n v="6633.6"/>
        <n v="26522.29"/>
        <n v="30640.69"/>
        <n v="28812.06"/>
        <n v="30576.0"/>
        <n v="41596.85"/>
        <n v="22060.38"/>
        <n v="40480.73"/>
        <n v="34803.41"/>
        <n v="9123.43"/>
        <n v="47693.33"/>
        <n v="48879.87"/>
        <n v="12225.23"/>
        <n v="45296.32"/>
        <n v="6887.98"/>
        <n v="49889.13"/>
        <n v="46663.92"/>
        <n v="39690.68"/>
        <n v="32749.76"/>
        <n v="16276.94"/>
        <n v="39005.27"/>
        <n v="16346.82"/>
        <n v="413.2"/>
        <n v="21555.12"/>
        <n v="21194.59"/>
        <n v="7642.55"/>
        <n v="46278.59"/>
        <n v="29976.58"/>
        <n v="14175.96"/>
        <n v="257.28"/>
        <n v="25919.18"/>
        <n v="22343.44"/>
        <n v="1867.81"/>
        <n v="31686.77"/>
        <n v="32890.28"/>
        <n v="27168.79"/>
        <n v="19600.31"/>
        <n v="45703.28"/>
        <n v="49147.41"/>
        <n v="34969.02"/>
        <n v="2066.93"/>
        <n v="5550.25"/>
        <n v="13263.83"/>
        <n v="29757.58"/>
        <n v="47618.43"/>
        <n v="797.71"/>
        <n v="12334.78"/>
        <n v="15891.66"/>
        <n v="23127.63"/>
        <n v="15090.15"/>
        <n v="41544.45"/>
        <n v="20913.85"/>
        <n v="33896.35"/>
        <n v="24537.11"/>
        <n v="45283.42"/>
        <n v="37149.97"/>
        <n v="1557.12"/>
        <n v="38929.37"/>
        <n v="47893.0"/>
        <n v="9471.49"/>
        <n v="40130.21"/>
        <n v="21349.35"/>
        <n v="45273.26"/>
        <n v="15350.0"/>
        <n v="7148.05"/>
        <n v="25411.08"/>
        <n v="24739.29"/>
        <n v="20875.52"/>
        <n v="29914.46"/>
        <n v="7627.77"/>
        <n v="46910.35"/>
        <n v="36188.72"/>
        <n v="21819.5"/>
        <n v="44625.98"/>
        <n v="2344.98"/>
        <n v="36069.86"/>
        <n v="30834.87"/>
        <n v="37747.24"/>
        <n v="25292.97"/>
        <n v="45419.62"/>
        <n v="28874.64"/>
        <n v="6974.66"/>
        <n v="41112.05"/>
        <n v="29748.17"/>
        <n v="6502.53"/>
        <n v="16850.46"/>
        <n v="14098.13"/>
        <n v="23129.36"/>
        <n v="34260.45"/>
        <n v="22321.8"/>
        <n v="7361.11"/>
        <n v="33072.39"/>
        <n v="1486.03"/>
        <n v="43789.89"/>
        <n v="6196.22"/>
        <n v="36364.84"/>
        <n v="13789.53"/>
        <n v="32373.88"/>
        <n v="21466.96"/>
        <n v="6652.95"/>
        <n v="25857.91"/>
        <n v="27965.93"/>
        <n v="11637.38"/>
        <n v="47289.86"/>
        <n v="21580.33"/>
        <n v="47254.7"/>
        <n v="45480.39"/>
        <n v="19010.69"/>
        <n v="31244.32"/>
        <n v="20998.7"/>
        <n v="46780.58"/>
        <n v="21143.07"/>
        <n v="6619.66"/>
        <n v="315.67"/>
        <n v="29528.77"/>
        <n v="3839.04"/>
        <n v="18153.87"/>
        <n v="30816.21"/>
        <n v="13908.48"/>
        <n v="13257.79"/>
        <n v="40225.63"/>
        <n v="17760.62"/>
        <n v="3230.47"/>
        <n v="14634.25"/>
        <n v="3626.27"/>
        <n v="41509.54"/>
        <n v="3859.9"/>
        <n v="26046.5"/>
        <n v="38159.29"/>
        <n v="35411.73"/>
        <n v="43693.36"/>
        <n v="37343.19"/>
        <n v="7259.89"/>
        <n v="3971.35"/>
        <n v="26566.32"/>
        <n v="22952.77"/>
        <n v="46270.13"/>
        <n v="30775.74"/>
        <n v="47796.53"/>
        <n v="16639.76"/>
        <n v="3215.11"/>
        <n v="29470.1"/>
        <n v="43864.35"/>
        <n v="42114.22"/>
        <n v="15011.99"/>
        <n v="26916.23"/>
        <n v="27085.46"/>
        <n v="9084.03"/>
        <n v="8692.39"/>
        <n v="30973.53"/>
        <n v="24375.93"/>
        <n v="42736.43"/>
        <n v="25235.41"/>
        <n v="35859.94"/>
        <n v="45217.92"/>
        <n v="8055.03"/>
        <n v="27918.98"/>
        <n v="21572.48"/>
        <n v="38808.88"/>
        <n v="36721.83"/>
        <n v="30814.91"/>
        <n v="28254.51"/>
        <n v="43152.69"/>
        <n v="30169.38"/>
        <n v="30991.63"/>
        <n v="44146.06"/>
        <n v="16990.85"/>
        <n v="34569.56"/>
        <n v="29747.29"/>
        <n v="39578.6"/>
        <n v="16513.54"/>
        <n v="17345.15"/>
        <n v="44322.64"/>
        <n v="21599.26"/>
        <n v="1973.64"/>
        <n v="25336.7"/>
        <n v="28595.31"/>
        <n v="28311.58"/>
        <n v="43946.96"/>
        <n v="751.97"/>
        <n v="20144.84"/>
        <n v="14756.18"/>
        <n v="43808.06"/>
        <n v="45863.13"/>
        <n v="5069.79"/>
        <n v="6189.16"/>
      </sharedItems>
    </cacheField>
    <cacheField name="Total_Sales" numFmtId="166">
      <sharedItems containsSemiMixedTypes="0" containsString="0" containsNumber="1">
        <n v="19808.39"/>
        <n v="139530.8"/>
        <n v="299928.48"/>
        <n v="140365.9"/>
        <n v="213936.9"/>
        <n v="359291.92"/>
        <n v="234167.84"/>
        <n v="86394.66"/>
        <n v="246944.64"/>
        <n v="333687.41"/>
        <n v="44708.5"/>
        <n v="110614.05"/>
        <n v="213995.1"/>
        <n v="224371.6"/>
        <n v="299029.7"/>
        <n v="180509.76"/>
        <n v="112729.05"/>
        <n v="16185.56"/>
        <n v="36587.92"/>
        <n v="437.34"/>
        <n v="410547.2"/>
        <n v="317305.7"/>
        <n v="120557.08"/>
        <n v="30869.01"/>
        <n v="143878.14"/>
        <n v="13263.99"/>
        <n v="490866.4"/>
        <n v="163236.96"/>
        <n v="41626.11"/>
        <n v="267836.96"/>
        <n v="45048.9"/>
        <n v="8582.49"/>
        <n v="43529.29"/>
        <n v="74724.16"/>
        <n v="219522.18"/>
        <n v="34757.71"/>
        <n v="54990.9"/>
        <n v="100658.0"/>
        <n v="248328.55"/>
        <n v="96867.4"/>
        <n v="97209.96"/>
        <n v="172829.92"/>
        <n v="343480.48"/>
        <n v="1005.21"/>
        <n v="318554.4"/>
        <n v="74620.36"/>
        <n v="109237.86"/>
        <n v="64664.54"/>
        <n v="127614.42"/>
        <n v="8162.84"/>
        <n v="299131.56"/>
        <n v="474935.9"/>
        <n v="93084.36"/>
        <n v="97972.96"/>
        <n v="157813.84"/>
        <n v="128637.6"/>
        <n v="35804.49"/>
        <n v="242216.48"/>
        <n v="439266.33"/>
        <n v="7583.96"/>
        <n v="115016.4"/>
        <n v="160299.54"/>
        <n v="4418.86"/>
        <n v="93549.04"/>
        <n v="91618.18"/>
        <n v="324318.12"/>
        <n v="311660.72"/>
        <n v="8286.54"/>
        <n v="30210.72"/>
        <n v="47848.0"/>
        <n v="57013.62"/>
        <n v="54089.48"/>
        <n v="190160.1"/>
        <n v="107697.64"/>
        <n v="217967.64"/>
        <n v="350597.34"/>
        <n v="69239.88"/>
        <n v="318588.55"/>
        <n v="97529.68"/>
        <n v="22401.12"/>
        <n v="300593.16"/>
        <n v="84656.2"/>
        <n v="193199.4"/>
        <n v="62003.61"/>
        <n v="412680.6"/>
        <n v="52501.23"/>
        <n v="172543.0"/>
        <n v="76084.8"/>
        <n v="167313.48"/>
        <n v="39342.98"/>
        <n v="152156.34"/>
        <n v="492174.1"/>
        <n v="198199.5"/>
        <n v="72852.1"/>
        <n v="210141.3"/>
        <n v="321222.51"/>
        <n v="56546.37"/>
        <n v="117472.56"/>
        <n v="113054.04"/>
        <n v="402956.64"/>
        <n v="101295.36"/>
        <n v="21553.66"/>
        <n v="331893.24"/>
        <n v="241144.8"/>
        <n v="86715.66"/>
        <n v="95992.04"/>
        <n v="31117.36"/>
        <n v="37605.65"/>
        <n v="91718.44"/>
        <n v="118857.45"/>
        <n v="110596.22"/>
        <n v="91236.0"/>
        <n v="405225.6"/>
        <n v="46629.03"/>
        <n v="217109.48"/>
        <n v="8321.54"/>
        <n v="34619.77"/>
        <n v="154238.45"/>
        <n v="37727.1"/>
        <n v="31739.18"/>
        <n v="468522.0"/>
        <n v="105461.08"/>
        <n v="42454.26"/>
        <n v="201110.9"/>
        <n v="401091.2"/>
        <n v="285227.53"/>
        <n v="95299.22"/>
        <n v="27936.6"/>
        <n v="296420.74"/>
        <n v="66608.34"/>
        <n v="136832.9"/>
        <n v="109163.28"/>
        <n v="35862.34"/>
        <n v="142731.2"/>
        <n v="163989.92"/>
        <n v="143752.47"/>
        <n v="100010.88"/>
        <n v="147500.76"/>
        <n v="429431.7"/>
        <n v="122496.24"/>
        <n v="237884.56"/>
        <n v="150907.5"/>
        <n v="38214.2"/>
        <n v="19590.5"/>
        <n v="35489.21"/>
        <n v="130165.29"/>
        <n v="47542.0"/>
        <n v="156219.8"/>
        <n v="138808.11"/>
        <n v="85323.78"/>
        <n v="34861.2"/>
        <n v="107665.89"/>
        <n v="214875.81"/>
        <n v="82132.92"/>
        <n v="123899.8"/>
        <n v="13776.48"/>
        <n v="7741.12"/>
        <n v="267104.88"/>
        <n v="134832.67"/>
        <n v="192594.75"/>
        <n v="36943.51"/>
        <n v="67132.4"/>
        <n v="203412.5"/>
        <n v="256457.76"/>
        <n v="34541.88"/>
        <n v="119390.88"/>
        <n v="349767.9"/>
        <n v="309378.72"/>
        <n v="23398.57"/>
        <n v="15617.29"/>
        <n v="1144.78"/>
        <n v="203569.62"/>
        <n v="110511.99"/>
        <n v="30364.5"/>
        <n v="439972.2"/>
        <n v="15733.65"/>
        <n v="85028.43"/>
        <n v="5815.69"/>
        <n v="372913.47"/>
        <n v="144969.64"/>
        <n v="216126.48"/>
        <n v="153670.14"/>
        <n v="135856.56"/>
        <n v="189759.6"/>
        <n v="100147.38"/>
        <n v="99704.97"/>
        <n v="26647.6"/>
        <n v="80289.8"/>
        <n v="252904.44"/>
        <n v="16249.69"/>
        <n v="144095.7"/>
        <n v="107330.05"/>
        <n v="254734.06"/>
        <n v="34604.6"/>
        <n v="6150.86"/>
        <n v="100104.3"/>
        <n v="186072.9"/>
        <n v="130702.11"/>
        <n v="29313.46"/>
        <n v="15515.24"/>
        <n v="208572.3"/>
        <n v="35903.14"/>
        <n v="22073.4"/>
        <n v="359892.18"/>
        <n v="33193.9"/>
        <n v="34302.92"/>
        <n v="81396.85"/>
        <n v="221067.8"/>
        <n v="103074.8"/>
        <n v="140328.85"/>
        <n v="63231.28"/>
        <n v="124305.24"/>
        <n v="69756.24"/>
        <n v="220973.34"/>
        <n v="444016.4"/>
        <n v="10934.02"/>
        <n v="84392.92"/>
        <n v="242701.7"/>
        <n v="29862.4"/>
        <n v="12121.61"/>
        <n v="102479.94"/>
        <n v="26771.99"/>
        <n v="99371.28"/>
        <n v="68529.18"/>
        <n v="55802.3"/>
        <n v="60346.48"/>
        <n v="434820.24"/>
        <n v="113053.32"/>
        <n v="14505.96"/>
        <n v="166613.7"/>
        <n v="13050.5"/>
        <n v="15061.67"/>
        <n v="297463.11"/>
        <n v="261678.42"/>
        <n v="109150.3"/>
        <n v="62429.88"/>
        <n v="215004.9"/>
        <n v="1961.91"/>
        <n v="23886.69"/>
        <n v="98774.4"/>
        <n v="374935.6"/>
        <n v="195601.44"/>
        <n v="280228.24"/>
        <n v="98255.31"/>
        <n v="39956.16"/>
        <n v="25737.43"/>
        <n v="25911.09"/>
        <n v="7280.64"/>
        <n v="315765.0"/>
        <n v="42764.32"/>
        <n v="234114.2"/>
        <n v="191586.8"/>
        <n v="244476.54"/>
        <n v="25717.95"/>
        <n v="17766.9"/>
        <n v="13129.64"/>
        <n v="411726.33"/>
        <n v="223452.45"/>
        <n v="62434.24"/>
        <n v="311180.64"/>
        <n v="51282.42"/>
        <n v="7916.91"/>
        <n v="35133.76"/>
        <n v="259301.0"/>
        <n v="210254.64"/>
        <n v="195199.8"/>
        <n v="226245.78"/>
        <n v="181063.26"/>
        <n v="27593.6"/>
        <n v="20740.93"/>
        <n v="439499.43"/>
        <n v="81620.02"/>
        <n v="241032.51"/>
        <n v="102099.33"/>
        <n v="10367.0"/>
        <n v="26461.65"/>
        <n v="21001.73"/>
        <n v="185424.32"/>
        <n v="22073.28"/>
        <n v="86462.0"/>
        <n v="51679.6"/>
        <n v="186519.72"/>
        <n v="78828.6"/>
        <n v="49324.8"/>
        <n v="139501.8"/>
        <n v="76444.38"/>
        <n v="97693.35"/>
        <n v="86401.08"/>
        <n v="44751.42"/>
        <n v="368979.6"/>
        <n v="58809.5"/>
        <n v="306956.37"/>
        <n v="190335.12"/>
        <n v="74970.27"/>
        <n v="334585.35"/>
        <n v="187463.04"/>
        <n v="87892.59"/>
        <n v="1229.02"/>
        <n v="11976.34"/>
        <n v="174736.89"/>
        <n v="34616.52"/>
        <n v="131685.75"/>
        <n v="226028.39"/>
        <n v="42816.6"/>
        <n v="163606.7"/>
        <n v="45338.4"/>
        <n v="39406.86"/>
        <n v="111006.18"/>
        <n v="81607.25"/>
        <n v="767.61"/>
        <n v="121322.16"/>
        <n v="105954.6"/>
        <n v="47870.04"/>
        <n v="112630.77"/>
        <n v="40250.63"/>
        <n v="81639.9"/>
        <n v="240883.83"/>
        <n v="156203.52"/>
        <n v="74022.24"/>
        <n v="154420.0"/>
        <n v="15069.36"/>
        <n v="23158.0"/>
        <n v="155811.12"/>
        <n v="64865.3"/>
        <n v="420808.14"/>
        <n v="38696.65"/>
        <n v="167620.15"/>
        <n v="175604.15"/>
        <n v="202154.0"/>
        <n v="107745.36"/>
        <n v="76256.64"/>
        <n v="130323.36"/>
        <n v="13705.83"/>
        <n v="113673.3"/>
        <n v="80421.12"/>
        <n v="73387.62"/>
        <n v="115263.96"/>
        <n v="137878.74"/>
        <n v="175335.5"/>
        <n v="89124.8"/>
        <n v="86309.0"/>
        <n v="168646.62"/>
        <n v="40350.67"/>
        <n v="324833.2"/>
        <n v="21368.29"/>
        <n v="10864.96"/>
        <n v="34742.76"/>
        <n v="42437.1"/>
        <n v="99559.14"/>
        <n v="30519.5"/>
        <n v="210619.12"/>
        <n v="70861.06"/>
        <n v="129500.85"/>
        <n v="30394.74"/>
        <n v="299498.92"/>
        <n v="127543.5"/>
        <n v="85329.0"/>
        <n v="223298.32"/>
        <n v="6976.56"/>
        <n v="100553.37"/>
        <n v="93055.86"/>
        <n v="318649.86"/>
        <n v="92273.25"/>
        <n v="202444.83"/>
        <n v="323527.23"/>
        <n v="221829.7"/>
        <n v="13424.67"/>
        <n v="277415.76"/>
        <n v="206413.15"/>
        <n v="146098.6"/>
        <n v="35099.34"/>
        <n v="439609.5"/>
        <n v="136626.6"/>
        <n v="118002.51"/>
        <n v="75639.4"/>
        <n v="407455.5"/>
        <n v="128419.56"/>
        <n v="103917.5"/>
        <n v="369482.04"/>
        <n v="166562.96"/>
        <n v="113778.84"/>
        <n v="19026.35"/>
        <n v="325425.87"/>
        <n v="121251.76"/>
        <n v="10851.3"/>
        <n v="141200.44"/>
        <n v="125266.25"/>
        <n v="43713.28"/>
        <n v="14919.85"/>
        <n v="54797.1"/>
        <n v="144704.16"/>
        <n v="16714.64"/>
        <n v="177138.7"/>
        <n v="29838.32"/>
        <n v="62199.8"/>
        <n v="34192.3"/>
        <n v="24428.2"/>
        <n v="132823.76"/>
        <n v="153373.8"/>
        <n v="33273.36"/>
        <n v="178309.16"/>
        <n v="308555.0"/>
        <n v="64336.72"/>
        <n v="47845.02"/>
        <n v="103625.84"/>
        <n v="363317.5"/>
        <n v="90068.24"/>
        <n v="81537.0"/>
        <n v="25982.0"/>
        <n v="199506.68"/>
        <n v="161107.04"/>
        <n v="138165.76"/>
        <n v="49496.16"/>
        <n v="189276.52"/>
        <n v="113543.48"/>
        <n v="5053.68"/>
        <n v="376842.87"/>
        <n v="108717.45"/>
        <n v="78808.86"/>
        <n v="22534.47"/>
        <n v="51751.06"/>
        <n v="83144.7"/>
        <n v="71273.3"/>
        <n v="440456.6"/>
        <n v="70840.92"/>
        <n v="242974.8"/>
        <n v="167677.65"/>
        <n v="432103.32"/>
        <n v="110260.04"/>
        <n v="12494.97"/>
        <n v="64916.12"/>
        <n v="288940.95"/>
        <n v="105473.12"/>
        <n v="126104.76"/>
        <n v="9639.44"/>
        <n v="18903.96"/>
        <n v="143245.35"/>
        <n v="10884.12"/>
        <n v="83149.52"/>
        <n v="266207.48"/>
        <n v="482551.9"/>
        <n v="142398.54"/>
        <n v="422321.22"/>
        <n v="12255.87"/>
        <n v="14491.62"/>
        <n v="45063.04"/>
        <n v="84805.75"/>
        <n v="85364.44"/>
        <n v="90746.36"/>
        <n v="120078.24"/>
        <n v="70818.68"/>
        <n v="217666.56"/>
        <n v="19202.88"/>
        <n v="77138.4"/>
        <n v="17299.04"/>
        <n v="47212.5"/>
        <n v="257759.6"/>
        <n v="12225.22"/>
        <n v="3953.8"/>
        <n v="91076.4"/>
        <n v="116728.5"/>
        <n v="193777.92"/>
        <n v="340749.52"/>
        <n v="252238.7"/>
        <n v="235105.5"/>
        <n v="269519.53"/>
        <n v="1981.7"/>
        <n v="197421.55"/>
        <n v="47389.09"/>
        <n v="358492.72"/>
        <n v="292060.48"/>
        <n v="40714.7"/>
        <n v="18127.66"/>
        <n v="78848.08"/>
        <n v="3239.94"/>
        <n v="21496.95"/>
        <n v="39400.4"/>
        <n v="47743.08"/>
        <n v="321187.65"/>
        <n v="162554.32"/>
        <n v="191143.08"/>
        <n v="75415.95"/>
        <n v="126134.07"/>
        <n v="431463.9"/>
        <n v="115969.35"/>
        <n v="267400.44"/>
        <n v="30398.64"/>
        <n v="3375.35"/>
        <n v="116744.31"/>
        <n v="256872.24"/>
        <n v="28466.49"/>
        <n v="144194.72"/>
        <n v="190162.88"/>
        <n v="19176.32"/>
        <n v="119662.88"/>
        <n v="124270.25"/>
        <n v="17039.73"/>
        <n v="89054.9"/>
        <n v="2094.36"/>
        <n v="6910.12"/>
        <n v="174940.92"/>
        <n v="33198.0"/>
        <n v="51591.1"/>
        <n v="203324.1"/>
        <n v="85717.2"/>
        <n v="199283.0"/>
        <n v="203724.09"/>
        <n v="7119.05"/>
        <n v="88672.76"/>
        <n v="105841.56"/>
        <n v="220868.4"/>
        <n v="148803.66"/>
        <n v="21090.24"/>
        <n v="208852.56"/>
        <n v="121853.1"/>
        <n v="200976.86"/>
        <n v="3310.72"/>
        <n v="177852.72"/>
        <n v="82021.25"/>
        <n v="135764.76"/>
        <n v="34200.58"/>
        <n v="19210.3"/>
        <n v="47545.65"/>
        <n v="302455.37"/>
        <n v="43633.34"/>
        <n v="162226.4"/>
        <n v="8988.44"/>
        <n v="63886.38"/>
        <n v="113857.04"/>
        <n v="6050.27"/>
        <n v="78327.66"/>
        <n v="239811.81"/>
        <n v="48695.59"/>
        <n v="122982.8"/>
        <n v="28924.68"/>
        <n v="230511.44"/>
        <n v="84855.86"/>
        <n v="242289.7"/>
        <n v="82193.5"/>
        <n v="9009.36"/>
        <n v="189183.33"/>
        <n v="170899.98"/>
        <n v="67601.66"/>
        <n v="16453.6"/>
        <n v="249899.04"/>
        <n v="150898.88"/>
        <n v="65413.26"/>
        <n v="253864.0"/>
        <n v="376981.83"/>
        <n v="139534.08"/>
        <n v="70227.96"/>
        <n v="66134.2"/>
        <n v="141401.85"/>
        <n v="432513.0"/>
        <n v="294353.64"/>
        <n v="359775.2"/>
        <n v="40148.6"/>
        <n v="23787.6"/>
        <n v="28766.56"/>
        <n v="153103.75"/>
        <n v="29540.26"/>
        <n v="17070.85"/>
        <n v="47539.35"/>
        <n v="126402.03"/>
        <n v="28362.94"/>
        <n v="115132.52"/>
        <n v="97167.28"/>
        <n v="70470.99"/>
        <n v="192834.67"/>
        <n v="211333.38"/>
        <n v="270087.16"/>
        <n v="17212.99"/>
        <n v="144829.17"/>
        <n v="360621.09"/>
        <n v="287434.35"/>
        <n v="458774.9"/>
        <n v="254006.73"/>
        <n v="74556.42"/>
        <n v="470798.6"/>
        <n v="60403.62"/>
        <n v="284448.64"/>
        <n v="122047.5"/>
        <n v="120358.95"/>
        <n v="165937.8"/>
        <n v="2070.65"/>
        <n v="58568.76"/>
        <n v="3753.78"/>
        <n v="92286.1"/>
        <n v="51372.25"/>
        <n v="133044.7"/>
        <n v="256986.2"/>
        <n v="163132.56"/>
        <n v="59121.8"/>
        <n v="100442.24"/>
        <n v="347736.0"/>
        <n v="237972.6"/>
        <n v="72667.0"/>
        <n v="161565.2"/>
        <n v="80473.4"/>
        <n v="69219.64"/>
        <n v="429297.21"/>
        <n v="285213.69"/>
        <n v="173173.12"/>
        <n v="87368.96"/>
        <n v="126051.16"/>
        <n v="107664.42"/>
        <n v="31957.88"/>
        <n v="258727.23"/>
        <n v="164965.29"/>
        <n v="270821.34"/>
        <n v="42500.65"/>
        <n v="215754.42"/>
        <n v="51766.12"/>
        <n v="99449.28"/>
        <n v="11539.95"/>
        <n v="280189.12"/>
        <n v="122431.8"/>
        <n v="473144.2"/>
        <n v="55976.48"/>
        <n v="146075.3"/>
        <n v="485667.8"/>
        <n v="313519.95"/>
        <n v="116929.38"/>
        <n v="30612.95"/>
        <n v="107774.59"/>
        <n v="354730.14"/>
        <n v="47674.82"/>
        <n v="15831.03"/>
        <n v="174333.28"/>
        <n v="87780.4"/>
        <n v="3992.85"/>
        <n v="12420.48"/>
        <n v="123371.82"/>
        <n v="184045.4"/>
        <n v="29263.26"/>
        <n v="48677.96"/>
        <n v="405004.41"/>
        <n v="291741.38"/>
        <n v="122561.37"/>
        <n v="323841.07"/>
        <n v="145301.46"/>
        <n v="63845.1"/>
        <n v="333996.4"/>
        <n v="340497.71"/>
        <n v="169196.64"/>
        <n v="238983.9"/>
        <n v="8906.18"/>
        <n v="196134.84"/>
        <n v="219937.28"/>
        <n v="48123.87"/>
        <n v="111865.08"/>
        <n v="394778.24"/>
        <n v="53794.02"/>
        <n v="107317.63"/>
        <n v="397220.94"/>
        <n v="296462.6"/>
        <n v="259787.34"/>
        <n v="185571.72"/>
        <n v="106419.88"/>
        <n v="2599.12"/>
        <n v="199641.96"/>
        <n v="210037.8"/>
        <n v="65068.15"/>
        <n v="134115.7"/>
        <n v="150743.16"/>
        <n v="137155.95"/>
        <n v="103361.36"/>
        <n v="245061.25"/>
        <n v="85037.6"/>
        <n v="91224.84"/>
        <n v="165058.24"/>
        <n v="91115.3"/>
        <n v="138761.82"/>
        <n v="268238.34"/>
        <n v="223776.99"/>
        <n v="236398.82"/>
        <n v="47927.36"/>
        <n v="275300.2"/>
        <n v="48583.48"/>
        <n v="1495.14"/>
        <n v="107028.9"/>
        <n v="23973.18"/>
        <n v="70625.7"/>
        <n v="348147.24"/>
        <n v="101845.28"/>
        <n v="98418.06"/>
        <n v="45333.96"/>
        <n v="48906.12"/>
        <n v="125182.65"/>
        <n v="184192.74"/>
        <n v="54878.34"/>
        <n v="231048.23"/>
        <n v="338531.22"/>
        <n v="215478.9"/>
        <n v="97826.15"/>
        <n v="18229.0"/>
        <n v="3859.08"/>
        <n v="23934.94"/>
        <n v="6280.83"/>
        <n v="270574.5"/>
        <n v="109792.04"/>
        <n v="251740.53"/>
        <n v="46021.88"/>
        <n v="20626.25"/>
        <n v="355910.49"/>
        <n v="129925.28"/>
        <n v="76131.68"/>
        <n v="230210.46"/>
        <n v="108470.6"/>
        <n v="237005.1"/>
        <n v="392423.76"/>
        <n v="151195.45"/>
        <n v="121791.05"/>
        <n v="285282.83"/>
        <n v="104971.05"/>
        <n v="106274.97"/>
        <n v="34477.47"/>
        <n v="170570.36"/>
        <n v="73262.46"/>
        <n v="64307.52"/>
        <n v="110900.34"/>
        <n v="181783.2"/>
        <n v="347158.53"/>
        <n v="235460.7"/>
        <n v="47545.23"/>
        <n v="60395.06"/>
        <n v="51456.6"/>
        <n v="31849.44"/>
        <n v="58707.36"/>
        <n v="350933.9"/>
        <n v="93190.71"/>
        <n v="138242.6"/>
        <n v="200523.55"/>
        <n v="237573.1"/>
        <n v="14209.86"/>
        <n v="25767.92"/>
        <n v="16506.48"/>
        <n v="31247.14"/>
        <n v="200969.45"/>
        <n v="61486.2"/>
        <n v="10625.65"/>
        <n v="159668.96"/>
        <n v="109913.8"/>
        <n v="40383.06"/>
        <n v="212252.94"/>
        <n v="76855.26"/>
        <n v="301283.73"/>
        <n v="301320.63"/>
        <n v="219795.57"/>
        <n v="54039.78"/>
        <n v="136560.28"/>
        <n v="36396.7"/>
        <n v="37930.19"/>
        <n v="299985.18"/>
        <n v="283052.58"/>
        <n v="37068.4"/>
        <n v="96340.16"/>
        <n v="203722.48"/>
        <n v="22254.12"/>
        <n v="72673.95"/>
        <n v="99128.64"/>
        <n v="493677.5"/>
        <n v="174065.2"/>
        <n v="218701.12"/>
        <n v="64707.84"/>
        <n v="2768.1"/>
        <n v="5629.1"/>
        <n v="147307.52"/>
        <n v="42782.38"/>
        <n v="36304.28"/>
        <n v="17041.21"/>
        <n v="248966.58"/>
        <n v="174666.56"/>
        <n v="243462.6"/>
        <n v="132772.22"/>
        <n v="191167.55"/>
        <n v="165724.79"/>
        <n v="299490.08"/>
        <n v="444513.78"/>
        <n v="252084.4"/>
        <n v="16633.85"/>
        <n v="178648.82"/>
        <n v="142635.56"/>
        <n v="49067.82"/>
        <n v="86438.08"/>
        <n v="280078.14"/>
        <n v="75833.37"/>
        <n v="325228.19"/>
        <n v="261456.84"/>
        <n v="175530.12"/>
        <n v="236009.2"/>
        <n v="180858.3"/>
        <n v="378494.16"/>
        <n v="52698.94"/>
        <n v="106181.76"/>
        <n v="7745.85"/>
        <n v="234450.42"/>
        <n v="203819.75"/>
        <n v="3727.43"/>
        <n v="187087.76"/>
        <n v="17409.33"/>
        <n v="30227.94"/>
        <n v="413892.18"/>
        <n v="177865.2"/>
        <n v="54661.6"/>
        <n v="128393.8"/>
        <n v="105764.6"/>
        <n v="78764.8"/>
        <n v="157078.86"/>
        <n v="3586.58"/>
        <n v="72124.72"/>
        <n v="48389.92"/>
        <n v="144413.9"/>
        <n v="158544.6"/>
        <n v="66336.0"/>
        <n v="132611.45"/>
        <n v="30640.69"/>
        <n v="28812.06"/>
        <n v="244608.0"/>
        <n v="124790.55"/>
        <n v="176483.04"/>
        <n v="242884.38"/>
        <n v="278427.28"/>
        <n v="82110.87"/>
        <n v="95386.66"/>
        <n v="146639.61"/>
        <n v="97801.84"/>
        <n v="362370.56"/>
        <n v="48215.86"/>
        <n v="299334.78"/>
        <n v="419975.28"/>
        <n v="396906.8"/>
        <n v="261998.08"/>
        <n v="65107.76"/>
        <n v="78010.54"/>
        <n v="98080.92"/>
        <n v="2892.4"/>
        <n v="107775.6"/>
        <n v="211945.9"/>
        <n v="38212.75"/>
        <n v="370228.72"/>
        <n v="119906.32"/>
        <n v="141759.6"/>
        <n v="771.84"/>
        <n v="51838.36"/>
        <n v="134060.64"/>
        <n v="11206.86"/>
        <n v="285180.93"/>
        <n v="197341.68"/>
        <n v="163012.74"/>
        <n v="196003.1"/>
        <n v="319922.96"/>
        <n v="245737.05"/>
        <n v="139876.08"/>
        <n v="20669.3"/>
        <n v="16650.75"/>
        <n v="92846.81"/>
        <n v="178545.48"/>
        <n v="47618.43"/>
        <n v="7179.39"/>
        <n v="61673.9"/>
        <n v="158916.6"/>
        <n v="46255.26"/>
        <n v="45270.45"/>
        <n v="83088.9"/>
        <n v="125483.1"/>
        <n v="101689.05"/>
        <n v="122685.55"/>
        <n v="226417.1"/>
        <n v="222899.82"/>
        <n v="15571.2"/>
        <n v="38929.37"/>
        <n v="239465.0"/>
        <n v="66300.43"/>
        <n v="80260.42"/>
        <n v="64048.05"/>
        <n v="181093.04"/>
        <n v="46050.0"/>
        <n v="64332.45"/>
        <n v="203288.64"/>
        <n v="148435.74"/>
        <n v="20875.52"/>
        <n v="59828.92"/>
        <n v="76277.7"/>
        <n v="140731.05"/>
        <n v="144754.88"/>
        <n v="21819.5"/>
        <n v="357007.84"/>
        <n v="2344.98"/>
        <n v="252489.02"/>
        <n v="277513.83"/>
        <n v="264230.68"/>
        <n v="101171.88"/>
        <n v="408776.58"/>
        <n v="230997.12"/>
        <n v="27898.64"/>
        <n v="328896.4"/>
        <n v="148740.85"/>
        <n v="26010.12"/>
        <n v="67401.84"/>
        <n v="28196.26"/>
        <n v="185034.88"/>
        <n v="274083.6"/>
        <n v="89287.2"/>
        <n v="36805.55"/>
        <n v="330723.9"/>
        <n v="5944.12"/>
        <n v="43789.89"/>
        <n v="43373.54"/>
        <n v="290918.72"/>
        <n v="96526.71"/>
        <n v="97121.64"/>
        <n v="150268.72"/>
        <n v="26611.8"/>
        <n v="129289.55"/>
        <n v="167795.58"/>
        <n v="116373.8"/>
        <n v="425608.74"/>
        <n v="215803.3"/>
        <n v="378037.6"/>
        <n v="318362.73"/>
        <n v="190106.9"/>
        <n v="156221.6"/>
        <n v="146990.9"/>
        <n v="421025.22"/>
        <n v="105715.35"/>
        <n v="33098.3"/>
        <n v="3156.7"/>
        <n v="88586.31"/>
        <n v="3839.04"/>
        <n v="36307.74"/>
        <n v="246529.68"/>
        <n v="139084.8"/>
        <n v="66288.95"/>
        <n v="40225.63"/>
        <n v="124324.34"/>
        <n v="19382.82"/>
        <n v="14634.25"/>
        <n v="32636.43"/>
        <n v="207547.7"/>
        <n v="15439.6"/>
        <n v="104186.0"/>
        <n v="228955.74"/>
        <n v="141646.92"/>
        <n v="87386.72"/>
        <n v="112029.57"/>
        <n v="58079.12"/>
        <n v="3971.35"/>
        <n v="106265.28"/>
        <n v="229527.7"/>
        <n v="462701.3"/>
        <n v="184654.44"/>
        <n v="191186.12"/>
        <n v="99838.56"/>
        <n v="6430.22"/>
        <n v="265230.9"/>
        <n v="175457.4"/>
        <n v="210571.1"/>
        <n v="75059.95"/>
        <n v="188413.61"/>
        <n v="162512.76"/>
        <n v="63588.21"/>
        <n v="69539.12"/>
        <n v="123894.12"/>
        <n v="146255.58"/>
        <n v="42736.43"/>
        <n v="75706.23"/>
        <n v="286879.52"/>
        <n v="90435.84"/>
        <n v="40275.15"/>
        <n v="27918.98"/>
        <n v="21572.48"/>
        <n v="310471.04"/>
        <n v="330496.47"/>
        <n v="92444.73"/>
        <n v="282545.1"/>
        <n v="129458.07"/>
        <n v="90508.14"/>
        <n v="154958.15"/>
        <n v="132438.18"/>
        <n v="84954.25"/>
        <n v="311126.04"/>
        <n v="237978.32"/>
        <n v="79157.2"/>
        <n v="82567.7"/>
        <n v="34690.3"/>
        <n v="398903.76"/>
        <n v="86397.04"/>
        <n v="7894.56"/>
        <n v="25336.7"/>
        <n v="171571.86"/>
        <n v="56623.16"/>
        <n v="439469.6"/>
        <n v="5263.79"/>
        <n v="141013.88"/>
        <n v="14756.18"/>
        <n v="438080.6"/>
        <n v="91726.26"/>
        <n v="25348.95"/>
        <n v="37134.96"/>
      </sharedItems>
    </cacheField>
    <cacheField name="Column 1" numFmtId="0">
      <sharedItems containsString="0" containsBlank="1">
        <m/>
      </sharedItems>
    </cacheField>
    <cacheField name="Column 6" numFmtId="0">
      <sharedItems>
        <s v="Bulk Order"/>
        <s v="Standard Order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D8" firstHeaderRow="0" firstDataRow="1" firstDataCol="1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ategory" axis="axisRow" compact="0" outline="0" multipleItemSelectionAllowed="1" showAll="0" sortType="ascending">
      <items>
        <item x="1"/>
        <item x="2"/>
        <item x="3"/>
        <item x="4"/>
        <item x="0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Total_Sales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Column 1" compact="0" outline="0" multipleItemSelectionAllowed="1" showAll="0">
      <items>
        <item x="0"/>
        <item t="default"/>
      </items>
    </pivotField>
    <pivotField name="Column 6" axis="axisCol" compact="0" outline="0" multipleItemSelectionAllowed="1" showAll="0" sortType="ascending">
      <items>
        <item x="0"/>
        <item x="1"/>
        <item t="default"/>
      </items>
    </pivotField>
  </pivotFields>
  <rowFields>
    <field x="8"/>
  </rowFields>
  <colFields>
    <field x="13"/>
  </colFields>
  <dataFields>
    <dataField name="SUM of Total_Sales" fld="11" baseField="0"/>
  </dataFields>
</pivotTableDefinition>
</file>

<file path=xl/tables/table1.xml><?xml version="1.0" encoding="utf-8"?>
<table xmlns="http://schemas.openxmlformats.org/spreadsheetml/2006/main" ref="A1:Z1001" displayName="Table1" name="Table1" id="1">
  <tableColumns count="26">
    <tableColumn name="Order_ID" id="1"/>
    <tableColumn name="Order_Date" id="2"/>
    <tableColumn name="Customer_ID" id="3"/>
    <tableColumn name="Customer_Name" id="4"/>
    <tableColumn name="Age" id="5"/>
    <tableColumn name="Gender" id="6"/>
    <tableColumn name="City" id="7"/>
    <tableColumn name="Product" id="8"/>
    <tableColumn name="Category" id="9"/>
    <tableColumn name="Quantity" id="10"/>
    <tableColumn name="Unit_Price" id="11"/>
    <tableColumn name="Total_Sales" id="12"/>
    <tableColumn name="Column 1" id="13"/>
    <tableColumn name="Column 6" id="14"/>
    <tableColumn name="Column 2" id="15"/>
    <tableColumn name="Column 3" id="16"/>
    <tableColumn name="Column 4" id="17"/>
    <tableColumn name="Column 17" id="18"/>
    <tableColumn name="Column 7" id="19"/>
    <tableColumn name="Column 8" id="20"/>
    <tableColumn name="Column 9" id="21"/>
    <tableColumn name="Column 10" id="22"/>
    <tableColumn name="Column 11" id="23"/>
    <tableColumn name="Column 12" id="24"/>
    <tableColumn name="Column 13" id="25"/>
    <tableColumn name="Column 14" id="26"/>
  </tableColumns>
  <tableStyleInfo name="Sales_Datas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43"/>
    <col customWidth="1" min="2" max="2" width="20.57"/>
    <col customWidth="1" min="3" max="3" width="18.43"/>
    <col customWidth="1" min="4" max="4" width="22.0"/>
    <col customWidth="1" min="5" max="5" width="4.86"/>
    <col customWidth="1" min="6" max="6" width="13.14"/>
    <col customWidth="1" min="7" max="7" width="12.57"/>
    <col customWidth="1" min="8" max="8" width="13.71"/>
    <col customWidth="1" min="9" max="9" width="14.86"/>
    <col customWidth="1" min="10" max="10" width="14.29"/>
    <col customWidth="1" min="11" max="11" width="19.57"/>
    <col customWidth="1" min="12" max="12" width="20.86"/>
    <col customWidth="1" min="13" max="13" width="8.71"/>
    <col customWidth="1" min="14" max="14" width="12.43"/>
    <col customWidth="1" min="15" max="15" width="15.86"/>
    <col customWidth="1" min="16" max="16" width="8.71"/>
    <col customWidth="1" min="17" max="17" width="17.86"/>
    <col customWidth="1" min="18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22.5" customHeight="1">
      <c r="A2" s="2" t="s">
        <v>26</v>
      </c>
      <c r="B2" s="3">
        <v>45713.0</v>
      </c>
      <c r="C2" s="2" t="s">
        <v>27</v>
      </c>
      <c r="D2" s="2" t="s">
        <v>28</v>
      </c>
      <c r="E2" s="2">
        <v>30.0</v>
      </c>
      <c r="F2" s="2" t="s">
        <v>29</v>
      </c>
      <c r="G2" s="2" t="s">
        <v>30</v>
      </c>
      <c r="H2" s="2" t="s">
        <v>31</v>
      </c>
      <c r="I2" s="2" t="s">
        <v>32</v>
      </c>
      <c r="J2" s="2">
        <v>7.0</v>
      </c>
      <c r="K2" s="4">
        <v>2829.77</v>
      </c>
      <c r="L2" s="5">
        <v>19808.39</v>
      </c>
      <c r="N2" s="2" t="str">
        <f>IF(Table1[Quantity] &gt; 2, "Bulk Order", "Standard Order")</f>
        <v>Bulk Order</v>
      </c>
      <c r="O2" s="6" t="str">
        <f t="array" ref="O2">_xlfn.XLOOKUP(H2, P$2:P$10, R$2:R$10, "Not Found")</f>
        <v>Not Found</v>
      </c>
      <c r="P2" s="2" t="str">
        <f>VLOOKUP(H2, V$2:X$10, 3, FALSE)</f>
        <v>#N/A</v>
      </c>
    </row>
    <row r="3" ht="22.5" customHeight="1">
      <c r="A3" s="2" t="s">
        <v>33</v>
      </c>
      <c r="B3" s="3">
        <v>45944.0</v>
      </c>
      <c r="C3" s="2" t="s">
        <v>35</v>
      </c>
      <c r="D3" s="2" t="s">
        <v>36</v>
      </c>
      <c r="E3" s="2">
        <v>63.0</v>
      </c>
      <c r="F3" s="2" t="s">
        <v>37</v>
      </c>
      <c r="G3" s="2" t="s">
        <v>30</v>
      </c>
      <c r="H3" s="2" t="s">
        <v>42</v>
      </c>
      <c r="I3" s="2" t="s">
        <v>41</v>
      </c>
      <c r="J3" s="2">
        <v>5.0</v>
      </c>
      <c r="K3" s="4">
        <v>27906.16</v>
      </c>
      <c r="L3" s="5">
        <v>139530.8</v>
      </c>
      <c r="N3" s="9" t="str">
        <f>IF(Table1[Quantity] &gt; 2, "Bulk Order", "Standard Order")</f>
        <v>Bulk Order</v>
      </c>
    </row>
    <row r="4" ht="22.5" customHeight="1">
      <c r="A4" s="2" t="s">
        <v>46</v>
      </c>
      <c r="B4" s="3">
        <v>45790.0</v>
      </c>
      <c r="C4" s="2" t="s">
        <v>47</v>
      </c>
      <c r="D4" s="2" t="s">
        <v>48</v>
      </c>
      <c r="E4" s="2">
        <v>62.0</v>
      </c>
      <c r="F4" s="2" t="s">
        <v>29</v>
      </c>
      <c r="G4" s="2" t="s">
        <v>30</v>
      </c>
      <c r="H4" s="2" t="s">
        <v>42</v>
      </c>
      <c r="I4" s="2" t="s">
        <v>41</v>
      </c>
      <c r="J4" s="2">
        <v>8.0</v>
      </c>
      <c r="K4" s="4">
        <v>37491.06</v>
      </c>
      <c r="L4" s="5">
        <v>299928.48</v>
      </c>
      <c r="N4" s="2" t="str">
        <f>IF(Table1[Quantity] &gt; 2, "Bulk Order", "Standard Order")</f>
        <v>Bulk Order</v>
      </c>
      <c r="Q4" s="10" t="s">
        <v>49</v>
      </c>
      <c r="R4" s="2">
        <f>COUNTIF(G:G, "Delhi")</f>
        <v>125</v>
      </c>
    </row>
    <row r="5" ht="22.5" customHeight="1">
      <c r="A5" s="2" t="s">
        <v>50</v>
      </c>
      <c r="B5" s="3">
        <v>45981.0</v>
      </c>
      <c r="C5" s="2" t="s">
        <v>51</v>
      </c>
      <c r="D5" s="2" t="s">
        <v>52</v>
      </c>
      <c r="E5" s="2">
        <v>44.0</v>
      </c>
      <c r="F5" s="2" t="s">
        <v>37</v>
      </c>
      <c r="G5" s="2" t="s">
        <v>30</v>
      </c>
      <c r="H5" s="2" t="s">
        <v>31</v>
      </c>
      <c r="I5" s="2" t="s">
        <v>32</v>
      </c>
      <c r="J5" s="2">
        <v>10.0</v>
      </c>
      <c r="K5" s="4">
        <v>14036.59</v>
      </c>
      <c r="L5" s="5">
        <v>140365.9</v>
      </c>
      <c r="N5" s="2" t="str">
        <f>IF(Table1[Quantity] &gt; 2, "Bulk Order", "Standard Order")</f>
        <v>Bulk Order</v>
      </c>
    </row>
    <row r="6" ht="22.5" customHeight="1">
      <c r="A6" s="2" t="s">
        <v>53</v>
      </c>
      <c r="B6" s="3">
        <v>45693.0</v>
      </c>
      <c r="C6" s="2" t="s">
        <v>54</v>
      </c>
      <c r="D6" s="2" t="s">
        <v>55</v>
      </c>
      <c r="E6" s="2">
        <v>38.0</v>
      </c>
      <c r="F6" s="2" t="s">
        <v>29</v>
      </c>
      <c r="G6" s="2" t="s">
        <v>30</v>
      </c>
      <c r="H6" s="2" t="s">
        <v>56</v>
      </c>
      <c r="I6" s="2" t="s">
        <v>43</v>
      </c>
      <c r="J6" s="2">
        <v>10.0</v>
      </c>
      <c r="K6" s="4">
        <v>21393.69</v>
      </c>
      <c r="L6" s="5">
        <v>213936.9</v>
      </c>
      <c r="N6" s="2" t="str">
        <f>IF(Table1[Quantity] &gt; 2, "Bulk Order", "Standard Order")</f>
        <v>Bulk Order</v>
      </c>
    </row>
    <row r="7" ht="22.5" customHeight="1">
      <c r="A7" s="2" t="s">
        <v>57</v>
      </c>
      <c r="B7" s="3">
        <v>45695.0</v>
      </c>
      <c r="C7" s="2" t="s">
        <v>58</v>
      </c>
      <c r="D7" s="2" t="s">
        <v>59</v>
      </c>
      <c r="E7" s="2">
        <v>46.0</v>
      </c>
      <c r="F7" s="2" t="s">
        <v>37</v>
      </c>
      <c r="G7" s="2" t="s">
        <v>30</v>
      </c>
      <c r="H7" s="2" t="s">
        <v>60</v>
      </c>
      <c r="I7" s="2" t="s">
        <v>43</v>
      </c>
      <c r="J7" s="2">
        <v>8.0</v>
      </c>
      <c r="K7" s="4">
        <v>44911.49</v>
      </c>
      <c r="L7" s="5">
        <v>359291.92</v>
      </c>
      <c r="N7" s="2" t="str">
        <f>IF(Table1[Quantity] &gt; 2, "Bulk Order", "Standard Order")</f>
        <v>Bulk Order</v>
      </c>
    </row>
    <row r="8" ht="22.5" customHeight="1">
      <c r="A8" s="2" t="s">
        <v>61</v>
      </c>
      <c r="B8" s="3">
        <v>45723.0</v>
      </c>
      <c r="C8" s="2" t="s">
        <v>62</v>
      </c>
      <c r="D8" s="2" t="s">
        <v>63</v>
      </c>
      <c r="E8" s="2">
        <v>58.0</v>
      </c>
      <c r="F8" s="2" t="s">
        <v>29</v>
      </c>
      <c r="G8" s="2" t="s">
        <v>30</v>
      </c>
      <c r="H8" s="2" t="s">
        <v>64</v>
      </c>
      <c r="I8" s="2" t="s">
        <v>44</v>
      </c>
      <c r="J8" s="2">
        <v>8.0</v>
      </c>
      <c r="K8" s="4">
        <v>29270.98</v>
      </c>
      <c r="L8" s="5">
        <v>234167.84</v>
      </c>
      <c r="N8" s="2" t="str">
        <f>IF(Table1[Quantity] &gt; 2, "Bulk Order", "Standard Order")</f>
        <v>Bulk Order</v>
      </c>
    </row>
    <row r="9" ht="22.5" customHeight="1">
      <c r="A9" s="2" t="s">
        <v>65</v>
      </c>
      <c r="B9" s="3">
        <v>45842.0</v>
      </c>
      <c r="C9" s="2" t="s">
        <v>66</v>
      </c>
      <c r="D9" s="2" t="s">
        <v>67</v>
      </c>
      <c r="E9" s="2">
        <v>55.0</v>
      </c>
      <c r="F9" s="2" t="s">
        <v>29</v>
      </c>
      <c r="G9" s="2" t="s">
        <v>30</v>
      </c>
      <c r="H9" s="2" t="s">
        <v>31</v>
      </c>
      <c r="I9" s="2" t="s">
        <v>32</v>
      </c>
      <c r="J9" s="2">
        <v>6.0</v>
      </c>
      <c r="K9" s="4">
        <v>14399.11</v>
      </c>
      <c r="L9" s="5">
        <v>86394.66</v>
      </c>
      <c r="N9" s="2" t="str">
        <f>IF(Table1[Quantity] &gt; 2, "Bulk Order", "Standard Order")</f>
        <v>Bulk Order</v>
      </c>
    </row>
    <row r="10" ht="22.5" customHeight="1">
      <c r="A10" s="2" t="s">
        <v>68</v>
      </c>
      <c r="B10" s="3">
        <v>45998.0</v>
      </c>
      <c r="C10" s="2" t="s">
        <v>69</v>
      </c>
      <c r="D10" s="2" t="s">
        <v>70</v>
      </c>
      <c r="E10" s="2">
        <v>58.0</v>
      </c>
      <c r="F10" s="2" t="s">
        <v>29</v>
      </c>
      <c r="G10" s="2" t="s">
        <v>30</v>
      </c>
      <c r="H10" s="2" t="s">
        <v>60</v>
      </c>
      <c r="I10" s="2" t="s">
        <v>43</v>
      </c>
      <c r="J10" s="2">
        <v>6.0</v>
      </c>
      <c r="K10" s="4">
        <v>41157.44</v>
      </c>
      <c r="L10" s="5">
        <v>246944.64</v>
      </c>
      <c r="N10" s="2" t="str">
        <f>IF(Table1[Quantity] &gt; 2, "Bulk Order", "Standard Order")</f>
        <v>Bulk Order</v>
      </c>
    </row>
    <row r="11" ht="22.5" customHeight="1">
      <c r="A11" s="2" t="s">
        <v>71</v>
      </c>
      <c r="B11" s="3">
        <v>45728.0</v>
      </c>
      <c r="C11" s="2" t="s">
        <v>72</v>
      </c>
      <c r="D11" s="2" t="s">
        <v>73</v>
      </c>
      <c r="E11" s="2">
        <v>18.0</v>
      </c>
      <c r="F11" s="2" t="s">
        <v>29</v>
      </c>
      <c r="G11" s="2" t="s">
        <v>30</v>
      </c>
      <c r="H11" s="2" t="s">
        <v>74</v>
      </c>
      <c r="I11" s="2" t="s">
        <v>45</v>
      </c>
      <c r="J11" s="2">
        <v>7.0</v>
      </c>
      <c r="K11" s="4">
        <v>47669.63</v>
      </c>
      <c r="L11" s="5">
        <v>333687.41</v>
      </c>
      <c r="N11" s="2" t="str">
        <f>IF(Table1[Quantity] &gt; 2, "Bulk Order", "Standard Order")</f>
        <v>Bulk Order</v>
      </c>
    </row>
    <row r="12" ht="22.5" customHeight="1">
      <c r="A12" s="2" t="s">
        <v>75</v>
      </c>
      <c r="B12" s="3">
        <v>46003.0</v>
      </c>
      <c r="C12" s="2" t="s">
        <v>76</v>
      </c>
      <c r="D12" s="2" t="s">
        <v>77</v>
      </c>
      <c r="E12" s="2">
        <v>50.0</v>
      </c>
      <c r="F12" s="2" t="s">
        <v>29</v>
      </c>
      <c r="G12" s="2" t="s">
        <v>30</v>
      </c>
      <c r="H12" s="2" t="s">
        <v>74</v>
      </c>
      <c r="I12" s="2" t="s">
        <v>45</v>
      </c>
      <c r="J12" s="2">
        <v>1.0</v>
      </c>
      <c r="K12" s="4">
        <v>44708.5</v>
      </c>
      <c r="L12" s="5">
        <v>44708.5</v>
      </c>
      <c r="N12" s="2" t="str">
        <f>IF(Table1[Quantity] &gt; 2, "Bulk Order", "Standard Order")</f>
        <v>Standard Order</v>
      </c>
    </row>
    <row r="13" ht="22.5" customHeight="1">
      <c r="A13" s="2" t="s">
        <v>78</v>
      </c>
      <c r="B13" s="3">
        <v>46018.0</v>
      </c>
      <c r="C13" s="2" t="s">
        <v>79</v>
      </c>
      <c r="D13" s="2" t="s">
        <v>80</v>
      </c>
      <c r="E13" s="2">
        <v>22.0</v>
      </c>
      <c r="F13" s="2" t="s">
        <v>29</v>
      </c>
      <c r="G13" s="2" t="s">
        <v>30</v>
      </c>
      <c r="H13" s="2" t="s">
        <v>64</v>
      </c>
      <c r="I13" s="2" t="s">
        <v>44</v>
      </c>
      <c r="J13" s="2">
        <v>9.0</v>
      </c>
      <c r="K13" s="4">
        <v>12290.45</v>
      </c>
      <c r="L13" s="5">
        <v>110614.05</v>
      </c>
      <c r="N13" s="2" t="str">
        <f>IF(Table1[Quantity] &gt; 2, "Bulk Order", "Standard Order")</f>
        <v>Bulk Order</v>
      </c>
    </row>
    <row r="14" ht="22.5" customHeight="1">
      <c r="A14" s="2" t="s">
        <v>81</v>
      </c>
      <c r="B14" s="3">
        <v>45707.0</v>
      </c>
      <c r="C14" s="2" t="s">
        <v>82</v>
      </c>
      <c r="D14" s="2" t="s">
        <v>83</v>
      </c>
      <c r="E14" s="2">
        <v>47.0</v>
      </c>
      <c r="F14" s="2" t="s">
        <v>37</v>
      </c>
      <c r="G14" s="2" t="s">
        <v>30</v>
      </c>
      <c r="H14" s="2" t="s">
        <v>31</v>
      </c>
      <c r="I14" s="2" t="s">
        <v>32</v>
      </c>
      <c r="J14" s="2">
        <v>10.0</v>
      </c>
      <c r="K14" s="4">
        <v>21399.51</v>
      </c>
      <c r="L14" s="5">
        <v>213995.1</v>
      </c>
      <c r="N14" s="2" t="str">
        <f>IF(Table1[Quantity] &gt; 2, "Bulk Order", "Standard Order")</f>
        <v>Bulk Order</v>
      </c>
    </row>
    <row r="15" ht="22.5" customHeight="1">
      <c r="A15" s="2" t="s">
        <v>84</v>
      </c>
      <c r="B15" s="3">
        <v>45909.0</v>
      </c>
      <c r="C15" s="2" t="s">
        <v>85</v>
      </c>
      <c r="D15" s="2" t="s">
        <v>86</v>
      </c>
      <c r="E15" s="2">
        <v>48.0</v>
      </c>
      <c r="F15" s="2" t="s">
        <v>37</v>
      </c>
      <c r="G15" s="2" t="s">
        <v>30</v>
      </c>
      <c r="H15" s="2" t="s">
        <v>42</v>
      </c>
      <c r="I15" s="2" t="s">
        <v>41</v>
      </c>
      <c r="J15" s="2">
        <v>10.0</v>
      </c>
      <c r="K15" s="4">
        <v>22437.16</v>
      </c>
      <c r="L15" s="5">
        <v>224371.6</v>
      </c>
      <c r="N15" s="2" t="str">
        <f>IF(Table1[Quantity] &gt; 2, "Bulk Order", "Standard Order")</f>
        <v>Bulk Order</v>
      </c>
    </row>
    <row r="16" ht="22.5" customHeight="1">
      <c r="A16" s="2" t="s">
        <v>87</v>
      </c>
      <c r="B16" s="3">
        <v>45741.0</v>
      </c>
      <c r="C16" s="2" t="s">
        <v>88</v>
      </c>
      <c r="D16" s="2" t="s">
        <v>89</v>
      </c>
      <c r="E16" s="2">
        <v>65.0</v>
      </c>
      <c r="F16" s="2" t="s">
        <v>29</v>
      </c>
      <c r="G16" s="2" t="s">
        <v>30</v>
      </c>
      <c r="H16" s="2" t="s">
        <v>42</v>
      </c>
      <c r="I16" s="2" t="s">
        <v>41</v>
      </c>
      <c r="J16" s="2">
        <v>10.0</v>
      </c>
      <c r="K16" s="4">
        <v>29902.97</v>
      </c>
      <c r="L16" s="5">
        <v>299029.7</v>
      </c>
      <c r="N16" s="2" t="str">
        <f>IF(Table1[Quantity] &gt; 2, "Bulk Order", "Standard Order")</f>
        <v>Bulk Order</v>
      </c>
    </row>
    <row r="17" ht="22.5" customHeight="1">
      <c r="A17" s="2" t="s">
        <v>90</v>
      </c>
      <c r="B17" s="3">
        <v>45918.0</v>
      </c>
      <c r="C17" s="2" t="s">
        <v>91</v>
      </c>
      <c r="D17" s="2" t="s">
        <v>92</v>
      </c>
      <c r="E17" s="2">
        <v>52.0</v>
      </c>
      <c r="F17" s="2" t="s">
        <v>37</v>
      </c>
      <c r="G17" s="2" t="s">
        <v>30</v>
      </c>
      <c r="H17" s="2" t="s">
        <v>60</v>
      </c>
      <c r="I17" s="2" t="s">
        <v>43</v>
      </c>
      <c r="J17" s="2">
        <v>8.0</v>
      </c>
      <c r="K17" s="4">
        <v>22563.72</v>
      </c>
      <c r="L17" s="5">
        <v>180509.76</v>
      </c>
      <c r="N17" s="2" t="str">
        <f>IF(Table1[Quantity] &gt; 2, "Bulk Order", "Standard Order")</f>
        <v>Bulk Order</v>
      </c>
    </row>
    <row r="18" ht="22.5" customHeight="1">
      <c r="A18" s="2" t="s">
        <v>93</v>
      </c>
      <c r="B18" s="3">
        <v>45816.0</v>
      </c>
      <c r="C18" s="2" t="s">
        <v>94</v>
      </c>
      <c r="D18" s="2" t="s">
        <v>95</v>
      </c>
      <c r="E18" s="2">
        <v>18.0</v>
      </c>
      <c r="F18" s="2" t="s">
        <v>37</v>
      </c>
      <c r="G18" s="2" t="s">
        <v>30</v>
      </c>
      <c r="H18" s="2" t="s">
        <v>60</v>
      </c>
      <c r="I18" s="2" t="s">
        <v>43</v>
      </c>
      <c r="J18" s="2">
        <v>3.0</v>
      </c>
      <c r="K18" s="4">
        <v>37576.35</v>
      </c>
      <c r="L18" s="5">
        <v>112729.05</v>
      </c>
      <c r="N18" s="2" t="str">
        <f>IF(Table1[Quantity] &gt; 2, "Bulk Order", "Standard Order")</f>
        <v>Bulk Order</v>
      </c>
    </row>
    <row r="19" ht="22.5" customHeight="1">
      <c r="A19" s="2" t="s">
        <v>96</v>
      </c>
      <c r="B19" s="3">
        <v>45917.0</v>
      </c>
      <c r="C19" s="2" t="s">
        <v>97</v>
      </c>
      <c r="D19" s="2" t="s">
        <v>98</v>
      </c>
      <c r="E19" s="2">
        <v>64.0</v>
      </c>
      <c r="F19" s="2" t="s">
        <v>37</v>
      </c>
      <c r="G19" s="2" t="s">
        <v>30</v>
      </c>
      <c r="H19" s="2" t="s">
        <v>74</v>
      </c>
      <c r="I19" s="2" t="s">
        <v>45</v>
      </c>
      <c r="J19" s="2">
        <v>2.0</v>
      </c>
      <c r="K19" s="4">
        <v>8092.78</v>
      </c>
      <c r="L19" s="5">
        <v>16185.56</v>
      </c>
      <c r="N19" s="2" t="str">
        <f>IF(Table1[Quantity] &gt; 2, "Bulk Order", "Standard Order")</f>
        <v>Standard Order</v>
      </c>
    </row>
    <row r="20" ht="22.5" customHeight="1">
      <c r="A20" s="2" t="s">
        <v>99</v>
      </c>
      <c r="B20" s="3">
        <v>45727.0</v>
      </c>
      <c r="C20" s="2" t="s">
        <v>100</v>
      </c>
      <c r="D20" s="2" t="s">
        <v>101</v>
      </c>
      <c r="E20" s="2">
        <v>60.0</v>
      </c>
      <c r="F20" s="2" t="s">
        <v>37</v>
      </c>
      <c r="G20" s="2" t="s">
        <v>30</v>
      </c>
      <c r="H20" s="2" t="s">
        <v>42</v>
      </c>
      <c r="I20" s="2" t="s">
        <v>41</v>
      </c>
      <c r="J20" s="2">
        <v>2.0</v>
      </c>
      <c r="K20" s="4">
        <v>18293.96</v>
      </c>
      <c r="L20" s="5">
        <v>36587.92</v>
      </c>
      <c r="N20" s="2" t="str">
        <f>IF(Table1[Quantity] &gt; 2, "Bulk Order", "Standard Order")</f>
        <v>Standard Order</v>
      </c>
    </row>
    <row r="21" ht="15.75" customHeight="1">
      <c r="A21" s="2" t="s">
        <v>102</v>
      </c>
      <c r="B21" s="3">
        <v>45952.0</v>
      </c>
      <c r="C21" s="2" t="s">
        <v>103</v>
      </c>
      <c r="D21" s="2" t="s">
        <v>104</v>
      </c>
      <c r="E21" s="2">
        <v>65.0</v>
      </c>
      <c r="F21" s="2" t="s">
        <v>37</v>
      </c>
      <c r="G21" s="2" t="s">
        <v>30</v>
      </c>
      <c r="H21" s="2" t="s">
        <v>31</v>
      </c>
      <c r="I21" s="2" t="s">
        <v>32</v>
      </c>
      <c r="J21" s="2">
        <v>3.0</v>
      </c>
      <c r="K21" s="4">
        <v>145.78</v>
      </c>
      <c r="L21" s="5">
        <v>437.34</v>
      </c>
      <c r="N21" s="2" t="str">
        <f>IF(Table1[Quantity] &gt; 2, "Bulk Order", "Standard Order")</f>
        <v>Bulk Order</v>
      </c>
    </row>
    <row r="22" ht="15.75" customHeight="1">
      <c r="A22" s="2" t="s">
        <v>105</v>
      </c>
      <c r="B22" s="3">
        <v>45664.0</v>
      </c>
      <c r="C22" s="2" t="s">
        <v>106</v>
      </c>
      <c r="D22" s="2" t="s">
        <v>107</v>
      </c>
      <c r="E22" s="2">
        <v>61.0</v>
      </c>
      <c r="F22" s="2" t="s">
        <v>37</v>
      </c>
      <c r="G22" s="2" t="s">
        <v>30</v>
      </c>
      <c r="H22" s="2" t="s">
        <v>56</v>
      </c>
      <c r="I22" s="2" t="s">
        <v>43</v>
      </c>
      <c r="J22" s="2">
        <v>10.0</v>
      </c>
      <c r="K22" s="4">
        <v>41054.72</v>
      </c>
      <c r="L22" s="5">
        <v>410547.2</v>
      </c>
      <c r="N22" s="2" t="str">
        <f>IF(Table1[Quantity] &gt; 2, "Bulk Order", "Standard Order")</f>
        <v>Bulk Order</v>
      </c>
    </row>
    <row r="23" ht="15.75" customHeight="1">
      <c r="A23" s="2" t="s">
        <v>108</v>
      </c>
      <c r="B23" s="3">
        <v>45875.0</v>
      </c>
      <c r="C23" s="2" t="s">
        <v>109</v>
      </c>
      <c r="D23" s="2" t="s">
        <v>83</v>
      </c>
      <c r="E23" s="2">
        <v>35.0</v>
      </c>
      <c r="F23" s="2" t="s">
        <v>29</v>
      </c>
      <c r="G23" s="2" t="s">
        <v>30</v>
      </c>
      <c r="H23" s="2" t="s">
        <v>74</v>
      </c>
      <c r="I23" s="2" t="s">
        <v>45</v>
      </c>
      <c r="J23" s="2">
        <v>10.0</v>
      </c>
      <c r="K23" s="4">
        <v>31730.57</v>
      </c>
      <c r="L23" s="5">
        <v>317305.7</v>
      </c>
      <c r="N23" s="2" t="str">
        <f>IF(Table1[Quantity] &gt; 2, "Bulk Order", "Standard Order")</f>
        <v>Bulk Order</v>
      </c>
    </row>
    <row r="24" ht="15.75" customHeight="1">
      <c r="A24" s="2" t="s">
        <v>110</v>
      </c>
      <c r="B24" s="3">
        <v>45751.0</v>
      </c>
      <c r="C24" s="2" t="s">
        <v>111</v>
      </c>
      <c r="D24" s="2" t="s">
        <v>112</v>
      </c>
      <c r="E24" s="2">
        <v>49.0</v>
      </c>
      <c r="F24" s="2" t="s">
        <v>37</v>
      </c>
      <c r="G24" s="2" t="s">
        <v>30</v>
      </c>
      <c r="H24" s="2" t="s">
        <v>60</v>
      </c>
      <c r="I24" s="2" t="s">
        <v>43</v>
      </c>
      <c r="J24" s="2">
        <v>4.0</v>
      </c>
      <c r="K24" s="4">
        <v>30139.27</v>
      </c>
      <c r="L24" s="5">
        <v>120557.08</v>
      </c>
      <c r="N24" s="2" t="str">
        <f>IF(Table1[Quantity] &gt; 2, "Bulk Order", "Standard Order")</f>
        <v>Bulk Order</v>
      </c>
    </row>
    <row r="25" ht="15.75" customHeight="1">
      <c r="A25" s="2" t="s">
        <v>113</v>
      </c>
      <c r="B25" s="3">
        <v>45677.0</v>
      </c>
      <c r="C25" s="2" t="s">
        <v>114</v>
      </c>
      <c r="D25" s="2" t="s">
        <v>115</v>
      </c>
      <c r="E25" s="2">
        <v>24.0</v>
      </c>
      <c r="F25" s="2" t="s">
        <v>37</v>
      </c>
      <c r="G25" s="2" t="s">
        <v>30</v>
      </c>
      <c r="H25" s="2" t="s">
        <v>74</v>
      </c>
      <c r="I25" s="2" t="s">
        <v>45</v>
      </c>
      <c r="J25" s="2">
        <v>3.0</v>
      </c>
      <c r="K25" s="4">
        <v>10289.67</v>
      </c>
      <c r="L25" s="5">
        <v>30869.01</v>
      </c>
      <c r="N25" s="2" t="str">
        <f>IF(Table1[Quantity] &gt; 2, "Bulk Order", "Standard Order")</f>
        <v>Bulk Order</v>
      </c>
    </row>
    <row r="26" ht="15.75" customHeight="1">
      <c r="A26" s="2" t="s">
        <v>116</v>
      </c>
      <c r="B26" s="3">
        <v>45834.0</v>
      </c>
      <c r="C26" s="2" t="s">
        <v>117</v>
      </c>
      <c r="D26" s="2" t="s">
        <v>118</v>
      </c>
      <c r="E26" s="2">
        <v>27.0</v>
      </c>
      <c r="F26" s="2" t="s">
        <v>37</v>
      </c>
      <c r="G26" s="2" t="s">
        <v>30</v>
      </c>
      <c r="H26" s="2" t="s">
        <v>31</v>
      </c>
      <c r="I26" s="2" t="s">
        <v>32</v>
      </c>
      <c r="J26" s="2">
        <v>3.0</v>
      </c>
      <c r="K26" s="4">
        <v>47959.38</v>
      </c>
      <c r="L26" s="5">
        <v>143878.14</v>
      </c>
      <c r="N26" s="2" t="str">
        <f>IF(Table1[Quantity] &gt; 2, "Bulk Order", "Standard Order")</f>
        <v>Bulk Order</v>
      </c>
    </row>
    <row r="27" ht="15.75" customHeight="1">
      <c r="A27" s="2" t="s">
        <v>119</v>
      </c>
      <c r="B27" s="3">
        <v>45763.0</v>
      </c>
      <c r="C27" s="2" t="s">
        <v>120</v>
      </c>
      <c r="D27" s="2" t="s">
        <v>121</v>
      </c>
      <c r="E27" s="2">
        <v>55.0</v>
      </c>
      <c r="F27" s="2" t="s">
        <v>29</v>
      </c>
      <c r="G27" s="2" t="s">
        <v>30</v>
      </c>
      <c r="H27" s="2" t="s">
        <v>42</v>
      </c>
      <c r="I27" s="2" t="s">
        <v>41</v>
      </c>
      <c r="J27" s="2">
        <v>3.0</v>
      </c>
      <c r="K27" s="4">
        <v>4421.33</v>
      </c>
      <c r="L27" s="5">
        <v>13263.99</v>
      </c>
      <c r="N27" s="2" t="str">
        <f>IF(Table1[Quantity] &gt; 2, "Bulk Order", "Standard Order")</f>
        <v>Bulk Order</v>
      </c>
    </row>
    <row r="28" ht="15.75" customHeight="1">
      <c r="A28" s="2" t="s">
        <v>122</v>
      </c>
      <c r="B28" s="3">
        <v>45851.0</v>
      </c>
      <c r="C28" s="2" t="s">
        <v>123</v>
      </c>
      <c r="D28" s="2" t="s">
        <v>124</v>
      </c>
      <c r="E28" s="2">
        <v>20.0</v>
      </c>
      <c r="F28" s="2" t="s">
        <v>29</v>
      </c>
      <c r="G28" s="2" t="s">
        <v>30</v>
      </c>
      <c r="H28" s="2" t="s">
        <v>64</v>
      </c>
      <c r="I28" s="2" t="s">
        <v>44</v>
      </c>
      <c r="J28" s="2">
        <v>10.0</v>
      </c>
      <c r="K28" s="4">
        <v>49086.64</v>
      </c>
      <c r="L28" s="5">
        <v>490866.4</v>
      </c>
      <c r="N28" s="2" t="str">
        <f>IF(Table1[Quantity] &gt; 2, "Bulk Order", "Standard Order")</f>
        <v>Bulk Order</v>
      </c>
    </row>
    <row r="29" ht="15.75" customHeight="1">
      <c r="A29" s="2" t="s">
        <v>125</v>
      </c>
      <c r="B29" s="3">
        <v>45667.0</v>
      </c>
      <c r="C29" s="2" t="s">
        <v>126</v>
      </c>
      <c r="D29" s="2" t="s">
        <v>127</v>
      </c>
      <c r="E29" s="2">
        <v>38.0</v>
      </c>
      <c r="F29" s="2" t="s">
        <v>29</v>
      </c>
      <c r="G29" s="2" t="s">
        <v>30</v>
      </c>
      <c r="H29" s="2" t="s">
        <v>56</v>
      </c>
      <c r="I29" s="2" t="s">
        <v>43</v>
      </c>
      <c r="J29" s="2">
        <v>8.0</v>
      </c>
      <c r="K29" s="4">
        <v>20404.62</v>
      </c>
      <c r="L29" s="5">
        <v>163236.96</v>
      </c>
      <c r="N29" s="2" t="str">
        <f>IF(Table1[Quantity] &gt; 2, "Bulk Order", "Standard Order")</f>
        <v>Bulk Order</v>
      </c>
    </row>
    <row r="30" ht="15.75" customHeight="1">
      <c r="A30" s="2" t="s">
        <v>128</v>
      </c>
      <c r="B30" s="3">
        <v>45905.0</v>
      </c>
      <c r="C30" s="2" t="s">
        <v>129</v>
      </c>
      <c r="D30" s="2" t="s">
        <v>130</v>
      </c>
      <c r="E30" s="2">
        <v>63.0</v>
      </c>
      <c r="F30" s="2" t="s">
        <v>29</v>
      </c>
      <c r="G30" s="2" t="s">
        <v>30</v>
      </c>
      <c r="H30" s="2" t="s">
        <v>64</v>
      </c>
      <c r="I30" s="2" t="s">
        <v>44</v>
      </c>
      <c r="J30" s="2">
        <v>1.0</v>
      </c>
      <c r="K30" s="4">
        <v>41626.11</v>
      </c>
      <c r="L30" s="5">
        <v>41626.11</v>
      </c>
      <c r="N30" s="2" t="str">
        <f>IF(Table1[Quantity] &gt; 2, "Bulk Order", "Standard Order")</f>
        <v>Standard Order</v>
      </c>
    </row>
    <row r="31" ht="15.75" customHeight="1">
      <c r="A31" s="2" t="s">
        <v>131</v>
      </c>
      <c r="B31" s="3">
        <v>45952.0</v>
      </c>
      <c r="C31" s="2" t="s">
        <v>132</v>
      </c>
      <c r="D31" s="2" t="s">
        <v>133</v>
      </c>
      <c r="E31" s="2">
        <v>41.0</v>
      </c>
      <c r="F31" s="2" t="s">
        <v>29</v>
      </c>
      <c r="G31" s="2" t="s">
        <v>30</v>
      </c>
      <c r="H31" s="2" t="s">
        <v>74</v>
      </c>
      <c r="I31" s="2" t="s">
        <v>45</v>
      </c>
      <c r="J31" s="2">
        <v>8.0</v>
      </c>
      <c r="K31" s="4">
        <v>33479.62</v>
      </c>
      <c r="L31" s="5">
        <v>267836.96</v>
      </c>
      <c r="N31" s="2" t="str">
        <f>IF(Table1[Quantity] &gt; 2, "Bulk Order", "Standard Order")</f>
        <v>Bulk Order</v>
      </c>
    </row>
    <row r="32" ht="15.75" customHeight="1">
      <c r="A32" s="2" t="s">
        <v>134</v>
      </c>
      <c r="B32" s="3">
        <v>45833.0</v>
      </c>
      <c r="C32" s="2" t="s">
        <v>135</v>
      </c>
      <c r="D32" s="2" t="s">
        <v>136</v>
      </c>
      <c r="E32" s="2">
        <v>32.0</v>
      </c>
      <c r="F32" s="2" t="s">
        <v>37</v>
      </c>
      <c r="G32" s="2" t="s">
        <v>30</v>
      </c>
      <c r="H32" s="2" t="s">
        <v>56</v>
      </c>
      <c r="I32" s="2" t="s">
        <v>43</v>
      </c>
      <c r="J32" s="2">
        <v>10.0</v>
      </c>
      <c r="K32" s="4">
        <v>4504.89</v>
      </c>
      <c r="L32" s="5">
        <v>45048.9</v>
      </c>
      <c r="N32" s="2" t="str">
        <f>IF(Table1[Quantity] &gt; 2, "Bulk Order", "Standard Order")</f>
        <v>Bulk Order</v>
      </c>
    </row>
    <row r="33" ht="15.75" customHeight="1">
      <c r="A33" s="2" t="s">
        <v>137</v>
      </c>
      <c r="B33" s="3">
        <v>45717.0</v>
      </c>
      <c r="C33" s="2" t="s">
        <v>138</v>
      </c>
      <c r="D33" s="2" t="s">
        <v>139</v>
      </c>
      <c r="E33" s="2">
        <v>23.0</v>
      </c>
      <c r="F33" s="2" t="s">
        <v>37</v>
      </c>
      <c r="G33" s="2" t="s">
        <v>30</v>
      </c>
      <c r="H33" s="2" t="s">
        <v>42</v>
      </c>
      <c r="I33" s="2" t="s">
        <v>41</v>
      </c>
      <c r="J33" s="2">
        <v>3.0</v>
      </c>
      <c r="K33" s="4">
        <v>2860.83</v>
      </c>
      <c r="L33" s="5">
        <v>8582.49</v>
      </c>
      <c r="N33" s="2" t="str">
        <f>IF(Table1[Quantity] &gt; 2, "Bulk Order", "Standard Order")</f>
        <v>Bulk Order</v>
      </c>
    </row>
    <row r="34" ht="15.75" customHeight="1">
      <c r="A34" s="2" t="s">
        <v>140</v>
      </c>
      <c r="B34" s="3">
        <v>45781.0</v>
      </c>
      <c r="C34" s="2" t="s">
        <v>141</v>
      </c>
      <c r="D34" s="2" t="s">
        <v>142</v>
      </c>
      <c r="E34" s="2">
        <v>21.0</v>
      </c>
      <c r="F34" s="2" t="s">
        <v>29</v>
      </c>
      <c r="G34" s="2" t="s">
        <v>30</v>
      </c>
      <c r="H34" s="2" t="s">
        <v>42</v>
      </c>
      <c r="I34" s="2" t="s">
        <v>41</v>
      </c>
      <c r="J34" s="2">
        <v>7.0</v>
      </c>
      <c r="K34" s="4">
        <v>6218.47</v>
      </c>
      <c r="L34" s="5">
        <v>43529.29</v>
      </c>
      <c r="N34" s="2" t="str">
        <f>IF(Table1[Quantity] &gt; 2, "Bulk Order", "Standard Order")</f>
        <v>Bulk Order</v>
      </c>
    </row>
    <row r="35" ht="15.75" customHeight="1">
      <c r="A35" s="2" t="s">
        <v>143</v>
      </c>
      <c r="B35" s="3">
        <v>45921.0</v>
      </c>
      <c r="C35" s="2" t="s">
        <v>144</v>
      </c>
      <c r="D35" s="2" t="s">
        <v>145</v>
      </c>
      <c r="E35" s="2">
        <v>25.0</v>
      </c>
      <c r="F35" s="2" t="s">
        <v>37</v>
      </c>
      <c r="G35" s="2" t="s">
        <v>30</v>
      </c>
      <c r="H35" s="2" t="s">
        <v>31</v>
      </c>
      <c r="I35" s="2" t="s">
        <v>32</v>
      </c>
      <c r="J35" s="2">
        <v>7.0</v>
      </c>
      <c r="K35" s="4">
        <v>10674.88</v>
      </c>
      <c r="L35" s="5">
        <v>74724.16</v>
      </c>
      <c r="N35" s="2" t="str">
        <f>IF(Table1[Quantity] &gt; 2, "Bulk Order", "Standard Order")</f>
        <v>Bulk Order</v>
      </c>
    </row>
    <row r="36" ht="15.75" customHeight="1">
      <c r="A36" s="2" t="s">
        <v>146</v>
      </c>
      <c r="B36" s="3">
        <v>45917.0</v>
      </c>
      <c r="C36" s="2" t="s">
        <v>147</v>
      </c>
      <c r="D36" s="2" t="s">
        <v>148</v>
      </c>
      <c r="E36" s="2">
        <v>54.0</v>
      </c>
      <c r="F36" s="2" t="s">
        <v>37</v>
      </c>
      <c r="G36" s="2" t="s">
        <v>30</v>
      </c>
      <c r="H36" s="2" t="s">
        <v>42</v>
      </c>
      <c r="I36" s="2" t="s">
        <v>41</v>
      </c>
      <c r="J36" s="2">
        <v>6.0</v>
      </c>
      <c r="K36" s="4">
        <v>36587.03</v>
      </c>
      <c r="L36" s="5">
        <v>219522.18</v>
      </c>
      <c r="N36" s="2" t="str">
        <f>IF(Table1[Quantity] &gt; 2, "Bulk Order", "Standard Order")</f>
        <v>Bulk Order</v>
      </c>
    </row>
    <row r="37" ht="15.75" customHeight="1">
      <c r="A37" s="2" t="s">
        <v>149</v>
      </c>
      <c r="B37" s="3">
        <v>46006.0</v>
      </c>
      <c r="C37" s="2" t="s">
        <v>150</v>
      </c>
      <c r="D37" s="2" t="s">
        <v>151</v>
      </c>
      <c r="E37" s="2">
        <v>64.0</v>
      </c>
      <c r="F37" s="2" t="s">
        <v>37</v>
      </c>
      <c r="G37" s="2" t="s">
        <v>30</v>
      </c>
      <c r="H37" s="2" t="s">
        <v>56</v>
      </c>
      <c r="I37" s="2" t="s">
        <v>43</v>
      </c>
      <c r="J37" s="2">
        <v>1.0</v>
      </c>
      <c r="K37" s="4">
        <v>34757.71</v>
      </c>
      <c r="L37" s="5">
        <v>34757.71</v>
      </c>
      <c r="N37" s="2" t="str">
        <f>IF(Table1[Quantity] &gt; 2, "Bulk Order", "Standard Order")</f>
        <v>Standard Order</v>
      </c>
    </row>
    <row r="38" ht="15.75" customHeight="1">
      <c r="A38" s="2" t="s">
        <v>152</v>
      </c>
      <c r="B38" s="3">
        <v>45765.0</v>
      </c>
      <c r="C38" s="2" t="s">
        <v>153</v>
      </c>
      <c r="D38" s="2" t="s">
        <v>154</v>
      </c>
      <c r="E38" s="2">
        <v>33.0</v>
      </c>
      <c r="F38" s="2" t="s">
        <v>37</v>
      </c>
      <c r="G38" s="2" t="s">
        <v>30</v>
      </c>
      <c r="H38" s="2" t="s">
        <v>74</v>
      </c>
      <c r="I38" s="2" t="s">
        <v>45</v>
      </c>
      <c r="J38" s="2">
        <v>9.0</v>
      </c>
      <c r="K38" s="4">
        <v>6110.1</v>
      </c>
      <c r="L38" s="5">
        <v>54990.9</v>
      </c>
      <c r="N38" s="2" t="str">
        <f>IF(Table1[Quantity] &gt; 2, "Bulk Order", "Standard Order")</f>
        <v>Bulk Order</v>
      </c>
    </row>
    <row r="39" ht="15.75" customHeight="1">
      <c r="A39" s="2" t="s">
        <v>155</v>
      </c>
      <c r="B39" s="3">
        <v>45783.0</v>
      </c>
      <c r="C39" s="2" t="s">
        <v>156</v>
      </c>
      <c r="D39" s="2" t="s">
        <v>157</v>
      </c>
      <c r="E39" s="2">
        <v>21.0</v>
      </c>
      <c r="F39" s="2" t="s">
        <v>29</v>
      </c>
      <c r="G39" s="2" t="s">
        <v>30</v>
      </c>
      <c r="H39" s="2" t="s">
        <v>42</v>
      </c>
      <c r="I39" s="2" t="s">
        <v>41</v>
      </c>
      <c r="J39" s="2">
        <v>4.0</v>
      </c>
      <c r="K39" s="4">
        <v>25164.5</v>
      </c>
      <c r="L39" s="5">
        <v>100658.0</v>
      </c>
      <c r="N39" s="2" t="str">
        <f>IF(Table1[Quantity] &gt; 2, "Bulk Order", "Standard Order")</f>
        <v>Bulk Order</v>
      </c>
    </row>
    <row r="40" ht="15.75" customHeight="1">
      <c r="A40" s="2" t="s">
        <v>158</v>
      </c>
      <c r="B40" s="3">
        <v>45751.0</v>
      </c>
      <c r="C40" s="2" t="s">
        <v>159</v>
      </c>
      <c r="D40" s="2" t="s">
        <v>160</v>
      </c>
      <c r="E40" s="2">
        <v>25.0</v>
      </c>
      <c r="F40" s="2" t="s">
        <v>37</v>
      </c>
      <c r="G40" s="2" t="s">
        <v>30</v>
      </c>
      <c r="H40" s="2" t="s">
        <v>60</v>
      </c>
      <c r="I40" s="2" t="s">
        <v>43</v>
      </c>
      <c r="J40" s="2">
        <v>5.0</v>
      </c>
      <c r="K40" s="4">
        <v>49665.71</v>
      </c>
      <c r="L40" s="5">
        <v>248328.55</v>
      </c>
      <c r="N40" s="2" t="str">
        <f>IF(Table1[Quantity] &gt; 2, "Bulk Order", "Standard Order")</f>
        <v>Bulk Order</v>
      </c>
    </row>
    <row r="41" ht="15.75" customHeight="1">
      <c r="A41" s="2" t="s">
        <v>161</v>
      </c>
      <c r="B41" s="3">
        <v>45913.0</v>
      </c>
      <c r="C41" s="2" t="s">
        <v>162</v>
      </c>
      <c r="D41" s="2" t="s">
        <v>163</v>
      </c>
      <c r="E41" s="2">
        <v>63.0</v>
      </c>
      <c r="F41" s="2" t="s">
        <v>29</v>
      </c>
      <c r="G41" s="2" t="s">
        <v>30</v>
      </c>
      <c r="H41" s="2" t="s">
        <v>56</v>
      </c>
      <c r="I41" s="2" t="s">
        <v>43</v>
      </c>
      <c r="J41" s="2">
        <v>2.0</v>
      </c>
      <c r="K41" s="4">
        <v>48433.7</v>
      </c>
      <c r="L41" s="5">
        <v>96867.4</v>
      </c>
      <c r="N41" s="2" t="str">
        <f>IF(Table1[Quantity] &gt; 2, "Bulk Order", "Standard Order")</f>
        <v>Standard Order</v>
      </c>
    </row>
    <row r="42" ht="15.75" customHeight="1">
      <c r="A42" s="2" t="s">
        <v>164</v>
      </c>
      <c r="B42" s="3">
        <v>45888.0</v>
      </c>
      <c r="C42" s="2" t="s">
        <v>165</v>
      </c>
      <c r="D42" s="2" t="s">
        <v>166</v>
      </c>
      <c r="E42" s="2">
        <v>21.0</v>
      </c>
      <c r="F42" s="2" t="s">
        <v>29</v>
      </c>
      <c r="G42" s="2" t="s">
        <v>30</v>
      </c>
      <c r="H42" s="2" t="s">
        <v>64</v>
      </c>
      <c r="I42" s="2" t="s">
        <v>44</v>
      </c>
      <c r="J42" s="2">
        <v>3.0</v>
      </c>
      <c r="K42" s="4">
        <v>32403.32</v>
      </c>
      <c r="L42" s="5">
        <v>97209.96</v>
      </c>
      <c r="N42" s="2" t="str">
        <f>IF(Table1[Quantity] &gt; 2, "Bulk Order", "Standard Order")</f>
        <v>Bulk Order</v>
      </c>
    </row>
    <row r="43" ht="15.75" customHeight="1">
      <c r="A43" s="2" t="s">
        <v>167</v>
      </c>
      <c r="B43" s="3">
        <v>45781.0</v>
      </c>
      <c r="C43" s="2" t="s">
        <v>168</v>
      </c>
      <c r="D43" s="2" t="s">
        <v>169</v>
      </c>
      <c r="E43" s="2">
        <v>18.0</v>
      </c>
      <c r="F43" s="2" t="s">
        <v>29</v>
      </c>
      <c r="G43" s="2" t="s">
        <v>30</v>
      </c>
      <c r="H43" s="2" t="s">
        <v>42</v>
      </c>
      <c r="I43" s="2" t="s">
        <v>41</v>
      </c>
      <c r="J43" s="2">
        <v>4.0</v>
      </c>
      <c r="K43" s="4">
        <v>43207.48</v>
      </c>
      <c r="L43" s="5">
        <v>172829.92</v>
      </c>
      <c r="N43" s="2" t="str">
        <f>IF(Table1[Quantity] &gt; 2, "Bulk Order", "Standard Order")</f>
        <v>Bulk Order</v>
      </c>
    </row>
    <row r="44" ht="15.75" customHeight="1">
      <c r="A44" s="2" t="s">
        <v>170</v>
      </c>
      <c r="B44" s="3">
        <v>45860.0</v>
      </c>
      <c r="C44" s="2" t="s">
        <v>171</v>
      </c>
      <c r="D44" s="2" t="s">
        <v>172</v>
      </c>
      <c r="E44" s="2">
        <v>49.0</v>
      </c>
      <c r="F44" s="2" t="s">
        <v>29</v>
      </c>
      <c r="G44" s="2" t="s">
        <v>30</v>
      </c>
      <c r="H44" s="2" t="s">
        <v>56</v>
      </c>
      <c r="I44" s="2" t="s">
        <v>43</v>
      </c>
      <c r="J44" s="2">
        <v>8.0</v>
      </c>
      <c r="K44" s="4">
        <v>42935.06</v>
      </c>
      <c r="L44" s="5">
        <v>343480.48</v>
      </c>
      <c r="N44" s="2" t="str">
        <f>IF(Table1[Quantity] &gt; 2, "Bulk Order", "Standard Order")</f>
        <v>Bulk Order</v>
      </c>
    </row>
    <row r="45" ht="15.75" customHeight="1">
      <c r="A45" s="2" t="s">
        <v>173</v>
      </c>
      <c r="B45" s="3">
        <v>45804.0</v>
      </c>
      <c r="C45" s="2" t="s">
        <v>174</v>
      </c>
      <c r="D45" s="2" t="s">
        <v>175</v>
      </c>
      <c r="E45" s="2">
        <v>30.0</v>
      </c>
      <c r="F45" s="2" t="s">
        <v>29</v>
      </c>
      <c r="G45" s="2" t="s">
        <v>30</v>
      </c>
      <c r="H45" s="2" t="s">
        <v>56</v>
      </c>
      <c r="I45" s="2" t="s">
        <v>43</v>
      </c>
      <c r="J45" s="2">
        <v>1.0</v>
      </c>
      <c r="K45" s="4">
        <v>1005.21</v>
      </c>
      <c r="L45" s="5">
        <v>1005.21</v>
      </c>
      <c r="N45" s="2" t="str">
        <f>IF(Table1[Quantity] &gt; 2, "Bulk Order", "Standard Order")</f>
        <v>Standard Order</v>
      </c>
    </row>
    <row r="46" ht="15.75" customHeight="1">
      <c r="A46" s="2" t="s">
        <v>176</v>
      </c>
      <c r="B46" s="3">
        <v>45783.0</v>
      </c>
      <c r="C46" s="2" t="s">
        <v>177</v>
      </c>
      <c r="D46" s="2" t="s">
        <v>178</v>
      </c>
      <c r="E46" s="2">
        <v>65.0</v>
      </c>
      <c r="F46" s="2" t="s">
        <v>29</v>
      </c>
      <c r="G46" s="2" t="s">
        <v>30</v>
      </c>
      <c r="H46" s="2" t="s">
        <v>31</v>
      </c>
      <c r="I46" s="2" t="s">
        <v>32</v>
      </c>
      <c r="J46" s="2">
        <v>10.0</v>
      </c>
      <c r="K46" s="4">
        <v>31855.44</v>
      </c>
      <c r="L46" s="5">
        <v>318554.4</v>
      </c>
      <c r="N46" s="2" t="str">
        <f>IF(Table1[Quantity] &gt; 2, "Bulk Order", "Standard Order")</f>
        <v>Bulk Order</v>
      </c>
    </row>
    <row r="47" ht="15.75" customHeight="1">
      <c r="A47" s="2" t="s">
        <v>179</v>
      </c>
      <c r="B47" s="3">
        <v>45701.0</v>
      </c>
      <c r="C47" s="2" t="s">
        <v>180</v>
      </c>
      <c r="D47" s="2" t="s">
        <v>181</v>
      </c>
      <c r="E47" s="2">
        <v>52.0</v>
      </c>
      <c r="F47" s="2" t="s">
        <v>29</v>
      </c>
      <c r="G47" s="2" t="s">
        <v>30</v>
      </c>
      <c r="H47" s="2" t="s">
        <v>42</v>
      </c>
      <c r="I47" s="2" t="s">
        <v>41</v>
      </c>
      <c r="J47" s="2">
        <v>4.0</v>
      </c>
      <c r="K47" s="4">
        <v>18655.09</v>
      </c>
      <c r="L47" s="5">
        <v>74620.36</v>
      </c>
      <c r="N47" s="2" t="str">
        <f>IF(Table1[Quantity] &gt; 2, "Bulk Order", "Standard Order")</f>
        <v>Bulk Order</v>
      </c>
    </row>
    <row r="48" ht="15.75" customHeight="1">
      <c r="A48" s="2" t="s">
        <v>182</v>
      </c>
      <c r="B48" s="3">
        <v>45697.0</v>
      </c>
      <c r="C48" s="2" t="s">
        <v>183</v>
      </c>
      <c r="D48" s="2" t="s">
        <v>184</v>
      </c>
      <c r="E48" s="2">
        <v>31.0</v>
      </c>
      <c r="F48" s="2" t="s">
        <v>37</v>
      </c>
      <c r="G48" s="2" t="s">
        <v>30</v>
      </c>
      <c r="H48" s="2" t="s">
        <v>31</v>
      </c>
      <c r="I48" s="2" t="s">
        <v>32</v>
      </c>
      <c r="J48" s="2">
        <v>9.0</v>
      </c>
      <c r="K48" s="4">
        <v>12137.54</v>
      </c>
      <c r="L48" s="5">
        <v>109237.86</v>
      </c>
      <c r="N48" s="2" t="str">
        <f>IF(Table1[Quantity] &gt; 2, "Bulk Order", "Standard Order")</f>
        <v>Bulk Order</v>
      </c>
    </row>
    <row r="49" ht="15.75" customHeight="1">
      <c r="A49" s="2" t="s">
        <v>185</v>
      </c>
      <c r="B49" s="3">
        <v>45743.0</v>
      </c>
      <c r="C49" s="2" t="s">
        <v>186</v>
      </c>
      <c r="D49" s="2" t="s">
        <v>187</v>
      </c>
      <c r="E49" s="2">
        <v>38.0</v>
      </c>
      <c r="F49" s="2" t="s">
        <v>29</v>
      </c>
      <c r="G49" s="2" t="s">
        <v>30</v>
      </c>
      <c r="H49" s="2" t="s">
        <v>64</v>
      </c>
      <c r="I49" s="2" t="s">
        <v>44</v>
      </c>
      <c r="J49" s="2">
        <v>2.0</v>
      </c>
      <c r="K49" s="4">
        <v>32332.27</v>
      </c>
      <c r="L49" s="5">
        <v>64664.54</v>
      </c>
      <c r="N49" s="2" t="str">
        <f>IF(Table1[Quantity] &gt; 2, "Bulk Order", "Standard Order")</f>
        <v>Standard Order</v>
      </c>
    </row>
    <row r="50" ht="15.75" customHeight="1">
      <c r="A50" s="2" t="s">
        <v>188</v>
      </c>
      <c r="B50" s="3">
        <v>45742.0</v>
      </c>
      <c r="C50" s="2" t="s">
        <v>189</v>
      </c>
      <c r="D50" s="2" t="s">
        <v>190</v>
      </c>
      <c r="E50" s="2">
        <v>50.0</v>
      </c>
      <c r="F50" s="2" t="s">
        <v>37</v>
      </c>
      <c r="G50" s="2" t="s">
        <v>30</v>
      </c>
      <c r="H50" s="2" t="s">
        <v>74</v>
      </c>
      <c r="I50" s="2" t="s">
        <v>45</v>
      </c>
      <c r="J50" s="2">
        <v>3.0</v>
      </c>
      <c r="K50" s="4">
        <v>42538.14</v>
      </c>
      <c r="L50" s="5">
        <v>127614.42</v>
      </c>
      <c r="N50" s="2" t="str">
        <f>IF(Table1[Quantity] &gt; 2, "Bulk Order", "Standard Order")</f>
        <v>Bulk Order</v>
      </c>
    </row>
    <row r="51" ht="15.75" customHeight="1">
      <c r="A51" s="2" t="s">
        <v>191</v>
      </c>
      <c r="B51" s="3">
        <v>45701.0</v>
      </c>
      <c r="C51" s="2" t="s">
        <v>192</v>
      </c>
      <c r="D51" s="2" t="s">
        <v>193</v>
      </c>
      <c r="E51" s="2">
        <v>55.0</v>
      </c>
      <c r="F51" s="2" t="s">
        <v>37</v>
      </c>
      <c r="G51" s="2" t="s">
        <v>30</v>
      </c>
      <c r="H51" s="2" t="s">
        <v>60</v>
      </c>
      <c r="I51" s="2" t="s">
        <v>43</v>
      </c>
      <c r="J51" s="2">
        <v>1.0</v>
      </c>
      <c r="K51" s="4">
        <v>8162.84</v>
      </c>
      <c r="L51" s="5">
        <v>8162.84</v>
      </c>
      <c r="N51" s="2" t="str">
        <f>IF(Table1[Quantity] &gt; 2, "Bulk Order", "Standard Order")</f>
        <v>Standard Order</v>
      </c>
    </row>
    <row r="52" ht="15.75" customHeight="1">
      <c r="A52" s="2" t="s">
        <v>194</v>
      </c>
      <c r="B52" s="3">
        <v>45977.0</v>
      </c>
      <c r="C52" s="2" t="s">
        <v>195</v>
      </c>
      <c r="D52" s="2" t="s">
        <v>196</v>
      </c>
      <c r="E52" s="2">
        <v>32.0</v>
      </c>
      <c r="F52" s="2" t="s">
        <v>37</v>
      </c>
      <c r="G52" s="2" t="s">
        <v>30</v>
      </c>
      <c r="H52" s="2" t="s">
        <v>60</v>
      </c>
      <c r="I52" s="2" t="s">
        <v>43</v>
      </c>
      <c r="J52" s="2">
        <v>7.0</v>
      </c>
      <c r="K52" s="4">
        <v>42733.08</v>
      </c>
      <c r="L52" s="5">
        <v>299131.56</v>
      </c>
      <c r="N52" s="2" t="str">
        <f>IF(Table1[Quantity] &gt; 2, "Bulk Order", "Standard Order")</f>
        <v>Bulk Order</v>
      </c>
    </row>
    <row r="53" ht="15.75" customHeight="1">
      <c r="A53" s="2" t="s">
        <v>197</v>
      </c>
      <c r="B53" s="3">
        <v>45729.0</v>
      </c>
      <c r="C53" s="2" t="s">
        <v>198</v>
      </c>
      <c r="D53" s="2" t="s">
        <v>95</v>
      </c>
      <c r="E53" s="2">
        <v>18.0</v>
      </c>
      <c r="F53" s="2" t="s">
        <v>37</v>
      </c>
      <c r="G53" s="2" t="s">
        <v>30</v>
      </c>
      <c r="H53" s="2" t="s">
        <v>56</v>
      </c>
      <c r="I53" s="2" t="s">
        <v>43</v>
      </c>
      <c r="J53" s="2">
        <v>10.0</v>
      </c>
      <c r="K53" s="4">
        <v>47493.59</v>
      </c>
      <c r="L53" s="5">
        <v>474935.9</v>
      </c>
      <c r="N53" s="2" t="str">
        <f>IF(Table1[Quantity] &gt; 2, "Bulk Order", "Standard Order")</f>
        <v>Bulk Order</v>
      </c>
    </row>
    <row r="54" ht="15.75" customHeight="1">
      <c r="A54" s="2" t="s">
        <v>199</v>
      </c>
      <c r="B54" s="3">
        <v>45814.0</v>
      </c>
      <c r="C54" s="2" t="s">
        <v>200</v>
      </c>
      <c r="D54" s="2" t="s">
        <v>201</v>
      </c>
      <c r="E54" s="2">
        <v>61.0</v>
      </c>
      <c r="F54" s="2" t="s">
        <v>37</v>
      </c>
      <c r="G54" s="2" t="s">
        <v>30</v>
      </c>
      <c r="H54" s="2" t="s">
        <v>64</v>
      </c>
      <c r="I54" s="2" t="s">
        <v>44</v>
      </c>
      <c r="J54" s="2">
        <v>3.0</v>
      </c>
      <c r="K54" s="4">
        <v>31028.12</v>
      </c>
      <c r="L54" s="5">
        <v>93084.36</v>
      </c>
      <c r="N54" s="2" t="str">
        <f>IF(Table1[Quantity] &gt; 2, "Bulk Order", "Standard Order")</f>
        <v>Bulk Order</v>
      </c>
    </row>
    <row r="55" ht="15.75" customHeight="1">
      <c r="A55" s="2" t="s">
        <v>202</v>
      </c>
      <c r="B55" s="3">
        <v>45820.0</v>
      </c>
      <c r="C55" s="2" t="s">
        <v>203</v>
      </c>
      <c r="D55" s="2" t="s">
        <v>204</v>
      </c>
      <c r="E55" s="2">
        <v>26.0</v>
      </c>
      <c r="F55" s="2" t="s">
        <v>37</v>
      </c>
      <c r="G55" s="2" t="s">
        <v>30</v>
      </c>
      <c r="H55" s="2" t="s">
        <v>64</v>
      </c>
      <c r="I55" s="2" t="s">
        <v>44</v>
      </c>
      <c r="J55" s="2">
        <v>2.0</v>
      </c>
      <c r="K55" s="4">
        <v>48986.48</v>
      </c>
      <c r="L55" s="5">
        <v>97972.96</v>
      </c>
      <c r="N55" s="2" t="str">
        <f>IF(Table1[Quantity] &gt; 2, "Bulk Order", "Standard Order")</f>
        <v>Standard Order</v>
      </c>
    </row>
    <row r="56" ht="15.75" customHeight="1">
      <c r="A56" s="2" t="s">
        <v>205</v>
      </c>
      <c r="B56" s="3">
        <v>45675.0</v>
      </c>
      <c r="C56" s="2" t="s">
        <v>206</v>
      </c>
      <c r="D56" s="2" t="s">
        <v>207</v>
      </c>
      <c r="E56" s="2">
        <v>32.0</v>
      </c>
      <c r="F56" s="2" t="s">
        <v>29</v>
      </c>
      <c r="G56" s="2" t="s">
        <v>30</v>
      </c>
      <c r="H56" s="2" t="s">
        <v>60</v>
      </c>
      <c r="I56" s="2" t="s">
        <v>43</v>
      </c>
      <c r="J56" s="2">
        <v>4.0</v>
      </c>
      <c r="K56" s="4">
        <v>39453.46</v>
      </c>
      <c r="L56" s="5">
        <v>157813.84</v>
      </c>
      <c r="N56" s="2" t="str">
        <f>IF(Table1[Quantity] &gt; 2, "Bulk Order", "Standard Order")</f>
        <v>Bulk Order</v>
      </c>
    </row>
    <row r="57" ht="15.75" customHeight="1">
      <c r="A57" s="2" t="s">
        <v>208</v>
      </c>
      <c r="B57" s="3">
        <v>45955.0</v>
      </c>
      <c r="C57" s="2" t="s">
        <v>209</v>
      </c>
      <c r="D57" s="2" t="s">
        <v>210</v>
      </c>
      <c r="E57" s="2">
        <v>33.0</v>
      </c>
      <c r="F57" s="2" t="s">
        <v>37</v>
      </c>
      <c r="G57" s="2" t="s">
        <v>30</v>
      </c>
      <c r="H57" s="2" t="s">
        <v>64</v>
      </c>
      <c r="I57" s="2" t="s">
        <v>44</v>
      </c>
      <c r="J57" s="2">
        <v>8.0</v>
      </c>
      <c r="K57" s="4">
        <v>16079.7</v>
      </c>
      <c r="L57" s="5">
        <v>128637.6</v>
      </c>
      <c r="N57" s="2" t="str">
        <f>IF(Table1[Quantity] &gt; 2, "Bulk Order", "Standard Order")</f>
        <v>Bulk Order</v>
      </c>
    </row>
    <row r="58" ht="15.75" customHeight="1">
      <c r="A58" s="2" t="s">
        <v>211</v>
      </c>
      <c r="B58" s="3">
        <v>45880.0</v>
      </c>
      <c r="C58" s="2" t="s">
        <v>212</v>
      </c>
      <c r="D58" s="2" t="s">
        <v>213</v>
      </c>
      <c r="E58" s="2">
        <v>37.0</v>
      </c>
      <c r="F58" s="2" t="s">
        <v>29</v>
      </c>
      <c r="G58" s="2" t="s">
        <v>30</v>
      </c>
      <c r="H58" s="2" t="s">
        <v>64</v>
      </c>
      <c r="I58" s="2" t="s">
        <v>44</v>
      </c>
      <c r="J58" s="2">
        <v>1.0</v>
      </c>
      <c r="K58" s="4">
        <v>35804.49</v>
      </c>
      <c r="L58" s="5">
        <v>35804.49</v>
      </c>
      <c r="N58" s="2" t="str">
        <f>IF(Table1[Quantity] &gt; 2, "Bulk Order", "Standard Order")</f>
        <v>Standard Order</v>
      </c>
    </row>
    <row r="59" ht="15.75" customHeight="1">
      <c r="A59" s="2" t="s">
        <v>214</v>
      </c>
      <c r="B59" s="3">
        <v>45748.0</v>
      </c>
      <c r="C59" s="2" t="s">
        <v>215</v>
      </c>
      <c r="D59" s="2" t="s">
        <v>216</v>
      </c>
      <c r="E59" s="2">
        <v>47.0</v>
      </c>
      <c r="F59" s="2" t="s">
        <v>37</v>
      </c>
      <c r="G59" s="2" t="s">
        <v>30</v>
      </c>
      <c r="H59" s="2" t="s">
        <v>31</v>
      </c>
      <c r="I59" s="2" t="s">
        <v>32</v>
      </c>
      <c r="J59" s="2">
        <v>8.0</v>
      </c>
      <c r="K59" s="4">
        <v>30277.06</v>
      </c>
      <c r="L59" s="5">
        <v>242216.48</v>
      </c>
      <c r="N59" s="2" t="str">
        <f>IF(Table1[Quantity] &gt; 2, "Bulk Order", "Standard Order")</f>
        <v>Bulk Order</v>
      </c>
    </row>
    <row r="60" ht="15.75" customHeight="1">
      <c r="A60" s="2" t="s">
        <v>217</v>
      </c>
      <c r="B60" s="3">
        <v>45723.0</v>
      </c>
      <c r="C60" s="2" t="s">
        <v>218</v>
      </c>
      <c r="D60" s="2" t="s">
        <v>219</v>
      </c>
      <c r="E60" s="2">
        <v>58.0</v>
      </c>
      <c r="F60" s="2" t="s">
        <v>29</v>
      </c>
      <c r="G60" s="2" t="s">
        <v>30</v>
      </c>
      <c r="H60" s="2" t="s">
        <v>56</v>
      </c>
      <c r="I60" s="2" t="s">
        <v>43</v>
      </c>
      <c r="J60" s="2">
        <v>9.0</v>
      </c>
      <c r="K60" s="4">
        <v>48807.37</v>
      </c>
      <c r="L60" s="5">
        <v>439266.33</v>
      </c>
      <c r="N60" s="2" t="str">
        <f>IF(Table1[Quantity] &gt; 2, "Bulk Order", "Standard Order")</f>
        <v>Bulk Order</v>
      </c>
    </row>
    <row r="61" ht="15.75" customHeight="1">
      <c r="A61" s="2" t="s">
        <v>220</v>
      </c>
      <c r="B61" s="3">
        <v>45822.0</v>
      </c>
      <c r="C61" s="2" t="s">
        <v>221</v>
      </c>
      <c r="D61" s="2" t="s">
        <v>222</v>
      </c>
      <c r="E61" s="2">
        <v>63.0</v>
      </c>
      <c r="F61" s="2" t="s">
        <v>29</v>
      </c>
      <c r="G61" s="2" t="s">
        <v>30</v>
      </c>
      <c r="H61" s="2" t="s">
        <v>31</v>
      </c>
      <c r="I61" s="2" t="s">
        <v>32</v>
      </c>
      <c r="J61" s="2">
        <v>4.0</v>
      </c>
      <c r="K61" s="4">
        <v>1895.99</v>
      </c>
      <c r="L61" s="5">
        <v>7583.96</v>
      </c>
      <c r="N61" s="2" t="str">
        <f>IF(Table1[Quantity] &gt; 2, "Bulk Order", "Standard Order")</f>
        <v>Bulk Order</v>
      </c>
    </row>
    <row r="62" ht="15.75" customHeight="1">
      <c r="A62" s="2" t="s">
        <v>223</v>
      </c>
      <c r="B62" s="3">
        <v>45680.0</v>
      </c>
      <c r="C62" s="2" t="s">
        <v>224</v>
      </c>
      <c r="D62" s="2" t="s">
        <v>89</v>
      </c>
      <c r="E62" s="2">
        <v>64.0</v>
      </c>
      <c r="F62" s="2" t="s">
        <v>29</v>
      </c>
      <c r="G62" s="2" t="s">
        <v>30</v>
      </c>
      <c r="H62" s="2" t="s">
        <v>64</v>
      </c>
      <c r="I62" s="2" t="s">
        <v>44</v>
      </c>
      <c r="J62" s="2">
        <v>5.0</v>
      </c>
      <c r="K62" s="4">
        <v>23003.28</v>
      </c>
      <c r="L62" s="5">
        <v>115016.4</v>
      </c>
      <c r="N62" s="2" t="str">
        <f>IF(Table1[Quantity] &gt; 2, "Bulk Order", "Standard Order")</f>
        <v>Bulk Order</v>
      </c>
    </row>
    <row r="63" ht="15.75" customHeight="1">
      <c r="A63" s="2" t="s">
        <v>225</v>
      </c>
      <c r="B63" s="3">
        <v>45741.0</v>
      </c>
      <c r="C63" s="2" t="s">
        <v>226</v>
      </c>
      <c r="D63" s="2" t="s">
        <v>227</v>
      </c>
      <c r="E63" s="2">
        <v>56.0</v>
      </c>
      <c r="F63" s="2" t="s">
        <v>37</v>
      </c>
      <c r="G63" s="2" t="s">
        <v>30</v>
      </c>
      <c r="H63" s="2" t="s">
        <v>74</v>
      </c>
      <c r="I63" s="2" t="s">
        <v>45</v>
      </c>
      <c r="J63" s="2">
        <v>6.0</v>
      </c>
      <c r="K63" s="4">
        <v>26716.59</v>
      </c>
      <c r="L63" s="5">
        <v>160299.54</v>
      </c>
      <c r="N63" s="2" t="str">
        <f>IF(Table1[Quantity] &gt; 2, "Bulk Order", "Standard Order")</f>
        <v>Bulk Order</v>
      </c>
    </row>
    <row r="64" ht="15.75" customHeight="1">
      <c r="A64" s="2" t="s">
        <v>228</v>
      </c>
      <c r="B64" s="3">
        <v>45890.0</v>
      </c>
      <c r="C64" s="2" t="s">
        <v>229</v>
      </c>
      <c r="D64" s="2" t="s">
        <v>230</v>
      </c>
      <c r="E64" s="2">
        <v>52.0</v>
      </c>
      <c r="F64" s="2" t="s">
        <v>37</v>
      </c>
      <c r="G64" s="2" t="s">
        <v>30</v>
      </c>
      <c r="H64" s="2" t="s">
        <v>64</v>
      </c>
      <c r="I64" s="2" t="s">
        <v>44</v>
      </c>
      <c r="J64" s="2">
        <v>2.0</v>
      </c>
      <c r="K64" s="4">
        <v>2209.43</v>
      </c>
      <c r="L64" s="5">
        <v>4418.86</v>
      </c>
      <c r="N64" s="2" t="str">
        <f>IF(Table1[Quantity] &gt; 2, "Bulk Order", "Standard Order")</f>
        <v>Standard Order</v>
      </c>
    </row>
    <row r="65" ht="15.75" customHeight="1">
      <c r="A65" s="2" t="s">
        <v>231</v>
      </c>
      <c r="B65" s="3">
        <v>46004.0</v>
      </c>
      <c r="C65" s="2" t="s">
        <v>232</v>
      </c>
      <c r="D65" s="2" t="s">
        <v>139</v>
      </c>
      <c r="E65" s="2">
        <v>34.0</v>
      </c>
      <c r="F65" s="2" t="s">
        <v>29</v>
      </c>
      <c r="G65" s="2" t="s">
        <v>30</v>
      </c>
      <c r="H65" s="2" t="s">
        <v>42</v>
      </c>
      <c r="I65" s="2" t="s">
        <v>41</v>
      </c>
      <c r="J65" s="2">
        <v>8.0</v>
      </c>
      <c r="K65" s="4">
        <v>11693.63</v>
      </c>
      <c r="L65" s="5">
        <v>93549.04</v>
      </c>
      <c r="N65" s="2" t="str">
        <f>IF(Table1[Quantity] &gt; 2, "Bulk Order", "Standard Order")</f>
        <v>Bulk Order</v>
      </c>
    </row>
    <row r="66" ht="15.75" customHeight="1">
      <c r="A66" s="2" t="s">
        <v>233</v>
      </c>
      <c r="B66" s="3">
        <v>45705.0</v>
      </c>
      <c r="C66" s="2" t="s">
        <v>234</v>
      </c>
      <c r="D66" s="2" t="s">
        <v>235</v>
      </c>
      <c r="E66" s="2">
        <v>45.0</v>
      </c>
      <c r="F66" s="2" t="s">
        <v>29</v>
      </c>
      <c r="G66" s="2" t="s">
        <v>30</v>
      </c>
      <c r="H66" s="2" t="s">
        <v>74</v>
      </c>
      <c r="I66" s="2" t="s">
        <v>45</v>
      </c>
      <c r="J66" s="2">
        <v>2.0</v>
      </c>
      <c r="K66" s="4">
        <v>45809.09</v>
      </c>
      <c r="L66" s="5">
        <v>91618.18</v>
      </c>
      <c r="N66" s="2" t="str">
        <f>IF(Table1[Quantity] &gt; 2, "Bulk Order", "Standard Order")</f>
        <v>Standard Order</v>
      </c>
    </row>
    <row r="67" ht="15.75" customHeight="1">
      <c r="A67" s="2" t="s">
        <v>236</v>
      </c>
      <c r="B67" s="3">
        <v>45735.0</v>
      </c>
      <c r="C67" s="2" t="s">
        <v>237</v>
      </c>
      <c r="D67" s="2" t="s">
        <v>238</v>
      </c>
      <c r="E67" s="2">
        <v>62.0</v>
      </c>
      <c r="F67" s="2" t="s">
        <v>29</v>
      </c>
      <c r="G67" s="2" t="s">
        <v>30</v>
      </c>
      <c r="H67" s="2" t="s">
        <v>74</v>
      </c>
      <c r="I67" s="2" t="s">
        <v>45</v>
      </c>
      <c r="J67" s="2">
        <v>7.0</v>
      </c>
      <c r="K67" s="4">
        <v>46331.16</v>
      </c>
      <c r="L67" s="5">
        <v>324318.12</v>
      </c>
      <c r="N67" s="2" t="str">
        <f>IF(Table1[Quantity] &gt; 2, "Bulk Order", "Standard Order")</f>
        <v>Bulk Order</v>
      </c>
    </row>
    <row r="68" ht="15.75" customHeight="1">
      <c r="A68" s="2" t="s">
        <v>137</v>
      </c>
      <c r="B68" s="3">
        <v>45983.0</v>
      </c>
      <c r="C68" s="2" t="s">
        <v>239</v>
      </c>
      <c r="D68" s="2" t="s">
        <v>240</v>
      </c>
      <c r="E68" s="2">
        <v>64.0</v>
      </c>
      <c r="F68" s="2" t="s">
        <v>37</v>
      </c>
      <c r="G68" s="2" t="s">
        <v>30</v>
      </c>
      <c r="H68" s="2" t="s">
        <v>31</v>
      </c>
      <c r="I68" s="2" t="s">
        <v>32</v>
      </c>
      <c r="J68" s="2">
        <v>8.0</v>
      </c>
      <c r="K68" s="4">
        <v>38957.59</v>
      </c>
      <c r="L68" s="5">
        <v>311660.72</v>
      </c>
      <c r="N68" s="2" t="str">
        <f>IF(Table1[Quantity] &gt; 2, "Bulk Order", "Standard Order")</f>
        <v>Bulk Order</v>
      </c>
    </row>
    <row r="69" ht="15.75" customHeight="1">
      <c r="A69" s="2" t="s">
        <v>241</v>
      </c>
      <c r="B69" s="3">
        <v>45895.0</v>
      </c>
      <c r="C69" s="2" t="s">
        <v>242</v>
      </c>
      <c r="D69" s="2" t="s">
        <v>243</v>
      </c>
      <c r="E69" s="2">
        <v>47.0</v>
      </c>
      <c r="F69" s="2" t="s">
        <v>29</v>
      </c>
      <c r="G69" s="2" t="s">
        <v>30</v>
      </c>
      <c r="H69" s="2" t="s">
        <v>74</v>
      </c>
      <c r="I69" s="2" t="s">
        <v>45</v>
      </c>
      <c r="J69" s="2">
        <v>3.0</v>
      </c>
      <c r="K69" s="4">
        <v>2762.18</v>
      </c>
      <c r="L69" s="5">
        <v>8286.54</v>
      </c>
      <c r="N69" s="2" t="str">
        <f>IF(Table1[Quantity] &gt; 2, "Bulk Order", "Standard Order")</f>
        <v>Bulk Order</v>
      </c>
    </row>
    <row r="70" ht="15.75" customHeight="1">
      <c r="A70" s="2" t="s">
        <v>244</v>
      </c>
      <c r="B70" s="3">
        <v>45878.0</v>
      </c>
      <c r="C70" s="2" t="s">
        <v>245</v>
      </c>
      <c r="D70" s="2" t="s">
        <v>246</v>
      </c>
      <c r="E70" s="2">
        <v>30.0</v>
      </c>
      <c r="F70" s="2" t="s">
        <v>37</v>
      </c>
      <c r="G70" s="2" t="s">
        <v>30</v>
      </c>
      <c r="H70" s="2" t="s">
        <v>60</v>
      </c>
      <c r="I70" s="2" t="s">
        <v>43</v>
      </c>
      <c r="J70" s="2">
        <v>1.0</v>
      </c>
      <c r="K70" s="4">
        <v>30210.72</v>
      </c>
      <c r="L70" s="5">
        <v>30210.72</v>
      </c>
      <c r="N70" s="2" t="str">
        <f>IF(Table1[Quantity] &gt; 2, "Bulk Order", "Standard Order")</f>
        <v>Standard Order</v>
      </c>
    </row>
    <row r="71" ht="15.75" customHeight="1">
      <c r="A71" s="2" t="s">
        <v>247</v>
      </c>
      <c r="B71" s="3">
        <v>45698.0</v>
      </c>
      <c r="C71" s="2" t="s">
        <v>248</v>
      </c>
      <c r="D71" s="2" t="s">
        <v>249</v>
      </c>
      <c r="E71" s="2">
        <v>39.0</v>
      </c>
      <c r="F71" s="2" t="s">
        <v>29</v>
      </c>
      <c r="G71" s="2" t="s">
        <v>30</v>
      </c>
      <c r="H71" s="2" t="s">
        <v>64</v>
      </c>
      <c r="I71" s="2" t="s">
        <v>44</v>
      </c>
      <c r="J71" s="2">
        <v>1.0</v>
      </c>
      <c r="K71" s="4">
        <v>47848.0</v>
      </c>
      <c r="L71" s="5">
        <v>47848.0</v>
      </c>
      <c r="N71" s="2" t="str">
        <f>IF(Table1[Quantity] &gt; 2, "Bulk Order", "Standard Order")</f>
        <v>Standard Order</v>
      </c>
    </row>
    <row r="72" ht="15.75" customHeight="1">
      <c r="A72" s="2" t="s">
        <v>250</v>
      </c>
      <c r="B72" s="3">
        <v>46005.0</v>
      </c>
      <c r="C72" s="2" t="s">
        <v>251</v>
      </c>
      <c r="D72" s="2" t="s">
        <v>252</v>
      </c>
      <c r="E72" s="2">
        <v>57.0</v>
      </c>
      <c r="F72" s="2" t="s">
        <v>29</v>
      </c>
      <c r="G72" s="2" t="s">
        <v>30</v>
      </c>
      <c r="H72" s="2" t="s">
        <v>31</v>
      </c>
      <c r="I72" s="2" t="s">
        <v>32</v>
      </c>
      <c r="J72" s="2">
        <v>2.0</v>
      </c>
      <c r="K72" s="4">
        <v>28506.81</v>
      </c>
      <c r="L72" s="5">
        <v>57013.62</v>
      </c>
      <c r="N72" s="2" t="str">
        <f>IF(Table1[Quantity] &gt; 2, "Bulk Order", "Standard Order")</f>
        <v>Standard Order</v>
      </c>
    </row>
    <row r="73" ht="15.75" customHeight="1">
      <c r="A73" s="2" t="s">
        <v>253</v>
      </c>
      <c r="B73" s="3">
        <v>45926.0</v>
      </c>
      <c r="C73" s="2" t="s">
        <v>254</v>
      </c>
      <c r="D73" s="2" t="s">
        <v>255</v>
      </c>
      <c r="E73" s="2">
        <v>37.0</v>
      </c>
      <c r="F73" s="2" t="s">
        <v>37</v>
      </c>
      <c r="G73" s="2" t="s">
        <v>30</v>
      </c>
      <c r="H73" s="2" t="s">
        <v>60</v>
      </c>
      <c r="I73" s="2" t="s">
        <v>43</v>
      </c>
      <c r="J73" s="2">
        <v>2.0</v>
      </c>
      <c r="K73" s="4">
        <v>27044.74</v>
      </c>
      <c r="L73" s="5">
        <v>54089.48</v>
      </c>
      <c r="N73" s="2" t="str">
        <f>IF(Table1[Quantity] &gt; 2, "Bulk Order", "Standard Order")</f>
        <v>Standard Order</v>
      </c>
    </row>
    <row r="74" ht="15.75" customHeight="1">
      <c r="A74" s="2" t="s">
        <v>256</v>
      </c>
      <c r="B74" s="3">
        <v>46016.0</v>
      </c>
      <c r="C74" s="2" t="s">
        <v>257</v>
      </c>
      <c r="D74" s="2" t="s">
        <v>258</v>
      </c>
      <c r="E74" s="2">
        <v>36.0</v>
      </c>
      <c r="F74" s="2" t="s">
        <v>29</v>
      </c>
      <c r="G74" s="2" t="s">
        <v>30</v>
      </c>
      <c r="H74" s="2" t="s">
        <v>31</v>
      </c>
      <c r="I74" s="2" t="s">
        <v>32</v>
      </c>
      <c r="J74" s="2">
        <v>5.0</v>
      </c>
      <c r="K74" s="4">
        <v>38032.02</v>
      </c>
      <c r="L74" s="5">
        <v>190160.1</v>
      </c>
      <c r="N74" s="2" t="str">
        <f>IF(Table1[Quantity] &gt; 2, "Bulk Order", "Standard Order")</f>
        <v>Bulk Order</v>
      </c>
    </row>
    <row r="75" ht="15.75" customHeight="1">
      <c r="A75" s="2" t="s">
        <v>259</v>
      </c>
      <c r="B75" s="3">
        <v>46020.0</v>
      </c>
      <c r="C75" s="2" t="s">
        <v>260</v>
      </c>
      <c r="D75" s="2" t="s">
        <v>261</v>
      </c>
      <c r="E75" s="2">
        <v>46.0</v>
      </c>
      <c r="F75" s="2" t="s">
        <v>29</v>
      </c>
      <c r="G75" s="2" t="s">
        <v>30</v>
      </c>
      <c r="H75" s="2" t="s">
        <v>31</v>
      </c>
      <c r="I75" s="2" t="s">
        <v>32</v>
      </c>
      <c r="J75" s="2">
        <v>4.0</v>
      </c>
      <c r="K75" s="4">
        <v>26924.41</v>
      </c>
      <c r="L75" s="5">
        <v>107697.64</v>
      </c>
      <c r="N75" s="2" t="str">
        <f>IF(Table1[Quantity] &gt; 2, "Bulk Order", "Standard Order")</f>
        <v>Bulk Order</v>
      </c>
    </row>
    <row r="76" ht="15.75" customHeight="1">
      <c r="A76" s="2" t="s">
        <v>262</v>
      </c>
      <c r="B76" s="3">
        <v>45953.0</v>
      </c>
      <c r="C76" s="2" t="s">
        <v>263</v>
      </c>
      <c r="D76" s="2" t="s">
        <v>160</v>
      </c>
      <c r="E76" s="2">
        <v>63.0</v>
      </c>
      <c r="F76" s="2" t="s">
        <v>37</v>
      </c>
      <c r="G76" s="2" t="s">
        <v>30</v>
      </c>
      <c r="H76" s="2" t="s">
        <v>74</v>
      </c>
      <c r="I76" s="2" t="s">
        <v>45</v>
      </c>
      <c r="J76" s="2">
        <v>6.0</v>
      </c>
      <c r="K76" s="4">
        <v>36327.94</v>
      </c>
      <c r="L76" s="5">
        <v>217967.64</v>
      </c>
      <c r="N76" s="2" t="str">
        <f>IF(Table1[Quantity] &gt; 2, "Bulk Order", "Standard Order")</f>
        <v>Bulk Order</v>
      </c>
    </row>
    <row r="77" ht="15.75" customHeight="1">
      <c r="A77" s="2" t="s">
        <v>264</v>
      </c>
      <c r="B77" s="3">
        <v>45905.0</v>
      </c>
      <c r="C77" s="2" t="s">
        <v>265</v>
      </c>
      <c r="D77" s="2" t="s">
        <v>266</v>
      </c>
      <c r="E77" s="2">
        <v>54.0</v>
      </c>
      <c r="F77" s="2" t="s">
        <v>37</v>
      </c>
      <c r="G77" s="2" t="s">
        <v>30</v>
      </c>
      <c r="H77" s="2" t="s">
        <v>60</v>
      </c>
      <c r="I77" s="2" t="s">
        <v>43</v>
      </c>
      <c r="J77" s="2">
        <v>9.0</v>
      </c>
      <c r="K77" s="4">
        <v>38955.26</v>
      </c>
      <c r="L77" s="5">
        <v>350597.34</v>
      </c>
      <c r="N77" s="2" t="str">
        <f>IF(Table1[Quantity] &gt; 2, "Bulk Order", "Standard Order")</f>
        <v>Bulk Order</v>
      </c>
    </row>
    <row r="78" ht="15.75" customHeight="1">
      <c r="A78" s="2" t="s">
        <v>267</v>
      </c>
      <c r="B78" s="3">
        <v>46001.0</v>
      </c>
      <c r="C78" s="2" t="s">
        <v>268</v>
      </c>
      <c r="D78" s="2" t="s">
        <v>269</v>
      </c>
      <c r="E78" s="2">
        <v>36.0</v>
      </c>
      <c r="F78" s="2" t="s">
        <v>37</v>
      </c>
      <c r="G78" s="2" t="s">
        <v>30</v>
      </c>
      <c r="H78" s="2" t="s">
        <v>64</v>
      </c>
      <c r="I78" s="2" t="s">
        <v>44</v>
      </c>
      <c r="J78" s="2">
        <v>3.0</v>
      </c>
      <c r="K78" s="4">
        <v>23079.96</v>
      </c>
      <c r="L78" s="5">
        <v>69239.88</v>
      </c>
      <c r="N78" s="2" t="str">
        <f>IF(Table1[Quantity] &gt; 2, "Bulk Order", "Standard Order")</f>
        <v>Bulk Order</v>
      </c>
    </row>
    <row r="79" ht="15.75" customHeight="1">
      <c r="A79" s="2" t="s">
        <v>270</v>
      </c>
      <c r="B79" s="3">
        <v>45728.0</v>
      </c>
      <c r="C79" s="2" t="s">
        <v>271</v>
      </c>
      <c r="D79" s="2" t="s">
        <v>272</v>
      </c>
      <c r="E79" s="2">
        <v>41.0</v>
      </c>
      <c r="F79" s="2" t="s">
        <v>37</v>
      </c>
      <c r="G79" s="2" t="s">
        <v>30</v>
      </c>
      <c r="H79" s="2" t="s">
        <v>31</v>
      </c>
      <c r="I79" s="2" t="s">
        <v>32</v>
      </c>
      <c r="J79" s="2">
        <v>7.0</v>
      </c>
      <c r="K79" s="4">
        <v>45512.65</v>
      </c>
      <c r="L79" s="5">
        <v>318588.55</v>
      </c>
      <c r="N79" s="2" t="str">
        <f>IF(Table1[Quantity] &gt; 2, "Bulk Order", "Standard Order")</f>
        <v>Bulk Order</v>
      </c>
    </row>
    <row r="80" ht="15.75" customHeight="1">
      <c r="A80" s="2" t="s">
        <v>273</v>
      </c>
      <c r="B80" s="3">
        <v>45743.0</v>
      </c>
      <c r="C80" s="2" t="s">
        <v>274</v>
      </c>
      <c r="D80" s="2" t="s">
        <v>181</v>
      </c>
      <c r="E80" s="2">
        <v>19.0</v>
      </c>
      <c r="F80" s="2" t="s">
        <v>37</v>
      </c>
      <c r="G80" s="2" t="s">
        <v>30</v>
      </c>
      <c r="H80" s="2" t="s">
        <v>31</v>
      </c>
      <c r="I80" s="2" t="s">
        <v>32</v>
      </c>
      <c r="J80" s="2">
        <v>4.0</v>
      </c>
      <c r="K80" s="4">
        <v>24382.42</v>
      </c>
      <c r="L80" s="5">
        <v>97529.68</v>
      </c>
      <c r="N80" s="2" t="str">
        <f>IF(Table1[Quantity] &gt; 2, "Bulk Order", "Standard Order")</f>
        <v>Bulk Order</v>
      </c>
    </row>
    <row r="81" ht="15.75" customHeight="1">
      <c r="A81" s="2" t="s">
        <v>275</v>
      </c>
      <c r="B81" s="3">
        <v>45922.0</v>
      </c>
      <c r="C81" s="2" t="s">
        <v>276</v>
      </c>
      <c r="D81" s="2" t="s">
        <v>277</v>
      </c>
      <c r="F81" s="2" t="s">
        <v>29</v>
      </c>
      <c r="G81" s="2" t="s">
        <v>30</v>
      </c>
      <c r="H81" s="2" t="s">
        <v>31</v>
      </c>
      <c r="I81" s="2" t="s">
        <v>32</v>
      </c>
      <c r="J81" s="2">
        <v>3.0</v>
      </c>
      <c r="K81" s="4">
        <v>7467.04</v>
      </c>
      <c r="L81" s="5">
        <v>22401.12</v>
      </c>
      <c r="N81" s="2" t="str">
        <f>IF(Table1[Quantity] &gt; 2, "Bulk Order", "Standard Order")</f>
        <v>Bulk Order</v>
      </c>
    </row>
    <row r="82" ht="15.75" customHeight="1">
      <c r="A82" s="2" t="s">
        <v>278</v>
      </c>
      <c r="B82" s="3">
        <v>45847.0</v>
      </c>
      <c r="C82" s="2" t="s">
        <v>279</v>
      </c>
      <c r="D82" s="2" t="s">
        <v>280</v>
      </c>
      <c r="E82" s="2">
        <v>21.0</v>
      </c>
      <c r="F82" s="2" t="s">
        <v>37</v>
      </c>
      <c r="G82" s="2" t="s">
        <v>30</v>
      </c>
      <c r="H82" s="2" t="s">
        <v>74</v>
      </c>
      <c r="I82" s="2" t="s">
        <v>45</v>
      </c>
      <c r="J82" s="2">
        <v>7.0</v>
      </c>
      <c r="K82" s="4">
        <v>42941.88</v>
      </c>
      <c r="L82" s="5">
        <v>300593.16</v>
      </c>
      <c r="N82" s="2" t="str">
        <f>IF(Table1[Quantity] &gt; 2, "Bulk Order", "Standard Order")</f>
        <v>Bulk Order</v>
      </c>
    </row>
    <row r="83" ht="15.75" customHeight="1">
      <c r="A83" s="2" t="s">
        <v>281</v>
      </c>
      <c r="B83" s="3">
        <v>45913.0</v>
      </c>
      <c r="C83" s="2" t="s">
        <v>282</v>
      </c>
      <c r="D83" s="2" t="s">
        <v>283</v>
      </c>
      <c r="E83" s="2">
        <v>23.0</v>
      </c>
      <c r="F83" s="2" t="s">
        <v>37</v>
      </c>
      <c r="G83" s="2" t="s">
        <v>30</v>
      </c>
      <c r="H83" s="2" t="s">
        <v>64</v>
      </c>
      <c r="I83" s="2" t="s">
        <v>44</v>
      </c>
      <c r="J83" s="2">
        <v>10.0</v>
      </c>
      <c r="K83" s="4">
        <v>8465.62</v>
      </c>
      <c r="L83" s="5">
        <v>84656.2</v>
      </c>
      <c r="N83" s="2" t="str">
        <f>IF(Table1[Quantity] &gt; 2, "Bulk Order", "Standard Order")</f>
        <v>Bulk Order</v>
      </c>
    </row>
    <row r="84" ht="15.75" customHeight="1">
      <c r="A84" s="2" t="s">
        <v>284</v>
      </c>
      <c r="B84" s="3">
        <v>45738.0</v>
      </c>
      <c r="C84" s="2" t="s">
        <v>285</v>
      </c>
      <c r="D84" s="2" t="s">
        <v>286</v>
      </c>
      <c r="E84" s="2">
        <v>59.0</v>
      </c>
      <c r="F84" s="2" t="s">
        <v>37</v>
      </c>
      <c r="G84" s="2" t="s">
        <v>30</v>
      </c>
      <c r="H84" s="2" t="s">
        <v>74</v>
      </c>
      <c r="I84" s="2" t="s">
        <v>45</v>
      </c>
      <c r="J84" s="2">
        <v>4.0</v>
      </c>
      <c r="K84" s="4">
        <v>48299.85</v>
      </c>
      <c r="L84" s="5">
        <v>193199.4</v>
      </c>
      <c r="N84" s="2" t="str">
        <f>IF(Table1[Quantity] &gt; 2, "Bulk Order", "Standard Order")</f>
        <v>Bulk Order</v>
      </c>
    </row>
    <row r="85" ht="15.75" customHeight="1">
      <c r="A85" s="2" t="s">
        <v>287</v>
      </c>
      <c r="B85" s="3">
        <v>45850.0</v>
      </c>
      <c r="C85" s="2" t="s">
        <v>288</v>
      </c>
      <c r="D85" s="2" t="s">
        <v>59</v>
      </c>
      <c r="E85" s="2">
        <v>20.0</v>
      </c>
      <c r="F85" s="2" t="s">
        <v>29</v>
      </c>
      <c r="G85" s="2" t="s">
        <v>30</v>
      </c>
      <c r="H85" s="2" t="s">
        <v>60</v>
      </c>
      <c r="I85" s="2" t="s">
        <v>43</v>
      </c>
      <c r="J85" s="2">
        <v>9.0</v>
      </c>
      <c r="K85" s="4">
        <v>6889.29</v>
      </c>
      <c r="L85" s="5">
        <v>62003.61</v>
      </c>
      <c r="N85" s="2" t="str">
        <f>IF(Table1[Quantity] &gt; 2, "Bulk Order", "Standard Order")</f>
        <v>Bulk Order</v>
      </c>
    </row>
    <row r="86" ht="15.75" customHeight="1">
      <c r="A86" s="2" t="s">
        <v>289</v>
      </c>
      <c r="B86" s="3">
        <v>45882.0</v>
      </c>
      <c r="C86" s="2" t="s">
        <v>290</v>
      </c>
      <c r="D86" s="2" t="s">
        <v>291</v>
      </c>
      <c r="E86" s="2">
        <v>60.0</v>
      </c>
      <c r="F86" s="2" t="s">
        <v>29</v>
      </c>
      <c r="G86" s="2" t="s">
        <v>30</v>
      </c>
      <c r="H86" s="2" t="s">
        <v>64</v>
      </c>
      <c r="I86" s="2" t="s">
        <v>44</v>
      </c>
      <c r="J86" s="2">
        <v>10.0</v>
      </c>
      <c r="K86" s="4">
        <v>41268.06</v>
      </c>
      <c r="L86" s="5">
        <v>412680.6</v>
      </c>
      <c r="N86" s="2" t="str">
        <f>IF(Table1[Quantity] &gt; 2, "Bulk Order", "Standard Order")</f>
        <v>Bulk Order</v>
      </c>
    </row>
    <row r="87" ht="15.75" customHeight="1">
      <c r="A87" s="2" t="s">
        <v>292</v>
      </c>
      <c r="B87" s="3">
        <v>45807.0</v>
      </c>
      <c r="C87" s="2" t="s">
        <v>293</v>
      </c>
      <c r="D87" s="2" t="s">
        <v>294</v>
      </c>
      <c r="E87" s="2">
        <v>57.0</v>
      </c>
      <c r="F87" s="2" t="s">
        <v>29</v>
      </c>
      <c r="G87" s="2" t="s">
        <v>30</v>
      </c>
      <c r="H87" s="2" t="s">
        <v>56</v>
      </c>
      <c r="I87" s="2" t="s">
        <v>43</v>
      </c>
      <c r="J87" s="2">
        <v>3.0</v>
      </c>
      <c r="K87" s="4">
        <v>17500.41</v>
      </c>
      <c r="L87" s="5">
        <v>52501.23</v>
      </c>
      <c r="N87" s="2" t="str">
        <f>IF(Table1[Quantity] &gt; 2, "Bulk Order", "Standard Order")</f>
        <v>Bulk Order</v>
      </c>
    </row>
    <row r="88" ht="15.75" customHeight="1">
      <c r="A88" s="2" t="s">
        <v>295</v>
      </c>
      <c r="B88" s="3">
        <v>45696.0</v>
      </c>
      <c r="C88" s="2" t="s">
        <v>296</v>
      </c>
      <c r="D88" s="2" t="s">
        <v>297</v>
      </c>
      <c r="E88" s="2">
        <v>57.0</v>
      </c>
      <c r="F88" s="2" t="s">
        <v>37</v>
      </c>
      <c r="G88" s="2" t="s">
        <v>30</v>
      </c>
      <c r="H88" s="2" t="s">
        <v>60</v>
      </c>
      <c r="I88" s="2" t="s">
        <v>43</v>
      </c>
      <c r="J88" s="2">
        <v>5.0</v>
      </c>
      <c r="K88" s="4">
        <v>34508.6</v>
      </c>
      <c r="L88" s="5">
        <v>172543.0</v>
      </c>
      <c r="N88" s="2" t="str">
        <f>IF(Table1[Quantity] &gt; 2, "Bulk Order", "Standard Order")</f>
        <v>Bulk Order</v>
      </c>
    </row>
    <row r="89" ht="15.75" customHeight="1">
      <c r="A89" s="2" t="s">
        <v>298</v>
      </c>
      <c r="B89" s="3">
        <v>45770.0</v>
      </c>
      <c r="C89" s="2" t="s">
        <v>299</v>
      </c>
      <c r="D89" s="2" t="s">
        <v>300</v>
      </c>
      <c r="E89" s="2">
        <v>28.0</v>
      </c>
      <c r="F89" s="2" t="s">
        <v>37</v>
      </c>
      <c r="G89" s="2" t="s">
        <v>30</v>
      </c>
      <c r="H89" s="2" t="s">
        <v>60</v>
      </c>
      <c r="I89" s="2" t="s">
        <v>43</v>
      </c>
      <c r="J89" s="2">
        <v>6.0</v>
      </c>
      <c r="K89" s="4">
        <v>12680.8</v>
      </c>
      <c r="L89" s="5">
        <v>76084.8</v>
      </c>
      <c r="N89" s="2" t="str">
        <f>IF(Table1[Quantity] &gt; 2, "Bulk Order", "Standard Order")</f>
        <v>Bulk Order</v>
      </c>
    </row>
    <row r="90" ht="15.75" customHeight="1">
      <c r="A90" s="2" t="s">
        <v>301</v>
      </c>
      <c r="B90" s="3">
        <v>46005.0</v>
      </c>
      <c r="C90" s="2" t="s">
        <v>302</v>
      </c>
      <c r="D90" s="2" t="s">
        <v>303</v>
      </c>
      <c r="E90" s="2">
        <v>45.0</v>
      </c>
      <c r="F90" s="2" t="s">
        <v>37</v>
      </c>
      <c r="G90" s="2" t="s">
        <v>30</v>
      </c>
      <c r="H90" s="2" t="s">
        <v>64</v>
      </c>
      <c r="I90" s="2" t="s">
        <v>44</v>
      </c>
      <c r="J90" s="2">
        <v>6.0</v>
      </c>
      <c r="K90" s="4">
        <v>27885.58</v>
      </c>
      <c r="L90" s="5">
        <v>167313.48</v>
      </c>
      <c r="N90" s="2" t="str">
        <f>IF(Table1[Quantity] &gt; 2, "Bulk Order", "Standard Order")</f>
        <v>Bulk Order</v>
      </c>
    </row>
    <row r="91" ht="15.75" customHeight="1">
      <c r="A91" s="2" t="s">
        <v>304</v>
      </c>
      <c r="B91" s="3">
        <v>45712.0</v>
      </c>
      <c r="C91" s="2" t="s">
        <v>305</v>
      </c>
      <c r="D91" s="2" t="s">
        <v>196</v>
      </c>
      <c r="E91" s="2">
        <v>38.0</v>
      </c>
      <c r="F91" s="2" t="s">
        <v>29</v>
      </c>
      <c r="G91" s="2" t="s">
        <v>30</v>
      </c>
      <c r="H91" s="2" t="s">
        <v>56</v>
      </c>
      <c r="I91" s="2" t="s">
        <v>43</v>
      </c>
      <c r="J91" s="2">
        <v>1.0</v>
      </c>
      <c r="K91" s="4">
        <v>39342.98</v>
      </c>
      <c r="L91" s="5">
        <v>39342.98</v>
      </c>
      <c r="N91" s="2" t="str">
        <f>IF(Table1[Quantity] &gt; 2, "Bulk Order", "Standard Order")</f>
        <v>Standard Order</v>
      </c>
    </row>
    <row r="92" ht="15.75" customHeight="1">
      <c r="A92" s="2" t="s">
        <v>306</v>
      </c>
      <c r="B92" s="3">
        <v>45684.0</v>
      </c>
      <c r="C92" s="2" t="s">
        <v>307</v>
      </c>
      <c r="D92" s="2" t="s">
        <v>80</v>
      </c>
      <c r="E92" s="2">
        <v>28.0</v>
      </c>
      <c r="F92" s="2" t="s">
        <v>37</v>
      </c>
      <c r="G92" s="2" t="s">
        <v>30</v>
      </c>
      <c r="H92" s="2" t="s">
        <v>31</v>
      </c>
      <c r="I92" s="2" t="s">
        <v>32</v>
      </c>
      <c r="J92" s="2">
        <v>6.0</v>
      </c>
      <c r="K92" s="4">
        <v>25359.39</v>
      </c>
      <c r="L92" s="5">
        <v>152156.34</v>
      </c>
      <c r="N92" s="2" t="str">
        <f>IF(Table1[Quantity] &gt; 2, "Bulk Order", "Standard Order")</f>
        <v>Bulk Order</v>
      </c>
    </row>
    <row r="93" ht="15.75" customHeight="1">
      <c r="A93" s="2" t="s">
        <v>308</v>
      </c>
      <c r="B93" s="3">
        <v>45943.0</v>
      </c>
      <c r="C93" s="2" t="s">
        <v>309</v>
      </c>
      <c r="D93" s="2" t="s">
        <v>310</v>
      </c>
      <c r="E93" s="2">
        <v>32.0</v>
      </c>
      <c r="F93" s="2" t="s">
        <v>37</v>
      </c>
      <c r="G93" s="2" t="s">
        <v>30</v>
      </c>
      <c r="H93" s="2" t="s">
        <v>60</v>
      </c>
      <c r="I93" s="2" t="s">
        <v>43</v>
      </c>
      <c r="J93" s="2">
        <v>10.0</v>
      </c>
      <c r="K93" s="4">
        <v>49217.41</v>
      </c>
      <c r="L93" s="5">
        <v>492174.1</v>
      </c>
      <c r="N93" s="2" t="str">
        <f>IF(Table1[Quantity] &gt; 2, "Bulk Order", "Standard Order")</f>
        <v>Bulk Order</v>
      </c>
    </row>
    <row r="94" ht="15.75" customHeight="1">
      <c r="A94" s="2" t="s">
        <v>311</v>
      </c>
      <c r="B94" s="3">
        <v>45786.0</v>
      </c>
      <c r="C94" s="2" t="s">
        <v>312</v>
      </c>
      <c r="D94" s="2" t="s">
        <v>313</v>
      </c>
      <c r="E94" s="2">
        <v>30.0</v>
      </c>
      <c r="F94" s="2" t="s">
        <v>29</v>
      </c>
      <c r="G94" s="2" t="s">
        <v>30</v>
      </c>
      <c r="H94" s="2" t="s">
        <v>56</v>
      </c>
      <c r="I94" s="2" t="s">
        <v>43</v>
      </c>
      <c r="J94" s="2">
        <v>10.0</v>
      </c>
      <c r="K94" s="4">
        <v>19819.95</v>
      </c>
      <c r="L94" s="5">
        <v>198199.5</v>
      </c>
      <c r="N94" s="2" t="str">
        <f>IF(Table1[Quantity] &gt; 2, "Bulk Order", "Standard Order")</f>
        <v>Bulk Order</v>
      </c>
    </row>
    <row r="95" ht="15.75" customHeight="1">
      <c r="A95" s="2" t="s">
        <v>314</v>
      </c>
      <c r="B95" s="3">
        <v>45665.0</v>
      </c>
      <c r="C95" s="2" t="s">
        <v>315</v>
      </c>
      <c r="D95" s="2" t="s">
        <v>316</v>
      </c>
      <c r="E95" s="2">
        <v>27.0</v>
      </c>
      <c r="F95" s="2" t="s">
        <v>37</v>
      </c>
      <c r="G95" s="2" t="s">
        <v>30</v>
      </c>
      <c r="H95" s="2" t="s">
        <v>74</v>
      </c>
      <c r="I95" s="2" t="s">
        <v>45</v>
      </c>
      <c r="J95" s="2">
        <v>2.0</v>
      </c>
      <c r="K95" s="4">
        <v>36426.05</v>
      </c>
      <c r="L95" s="5">
        <v>72852.1</v>
      </c>
      <c r="N95" s="2" t="str">
        <f>IF(Table1[Quantity] &gt; 2, "Bulk Order", "Standard Order")</f>
        <v>Standard Order</v>
      </c>
    </row>
    <row r="96" ht="15.75" customHeight="1">
      <c r="A96" s="2" t="s">
        <v>317</v>
      </c>
      <c r="B96" s="3">
        <v>45667.0</v>
      </c>
      <c r="C96" s="2" t="s">
        <v>318</v>
      </c>
      <c r="D96" s="2" t="s">
        <v>319</v>
      </c>
      <c r="E96" s="2">
        <v>38.0</v>
      </c>
      <c r="F96" s="2" t="s">
        <v>29</v>
      </c>
      <c r="G96" s="2" t="s">
        <v>30</v>
      </c>
      <c r="H96" s="2" t="s">
        <v>42</v>
      </c>
      <c r="I96" s="2" t="s">
        <v>41</v>
      </c>
      <c r="J96" s="2">
        <v>6.0</v>
      </c>
      <c r="K96" s="4">
        <v>35023.55</v>
      </c>
      <c r="L96" s="5">
        <v>210141.3</v>
      </c>
      <c r="N96" s="2" t="str">
        <f>IF(Table1[Quantity] &gt; 2, "Bulk Order", "Standard Order")</f>
        <v>Bulk Order</v>
      </c>
    </row>
    <row r="97" ht="15.75" customHeight="1">
      <c r="A97" s="2" t="s">
        <v>320</v>
      </c>
      <c r="B97" s="3">
        <v>45944.0</v>
      </c>
      <c r="C97" s="2" t="s">
        <v>321</v>
      </c>
      <c r="D97" s="2" t="s">
        <v>322</v>
      </c>
      <c r="E97" s="2">
        <v>60.0</v>
      </c>
      <c r="F97" s="2" t="s">
        <v>29</v>
      </c>
      <c r="G97" s="2" t="s">
        <v>30</v>
      </c>
      <c r="H97" s="2" t="s">
        <v>64</v>
      </c>
      <c r="I97" s="2" t="s">
        <v>44</v>
      </c>
      <c r="J97" s="2">
        <v>9.0</v>
      </c>
      <c r="K97" s="4">
        <v>35691.39</v>
      </c>
      <c r="L97" s="5">
        <v>321222.51</v>
      </c>
      <c r="N97" s="2" t="str">
        <f>IF(Table1[Quantity] &gt; 2, "Bulk Order", "Standard Order")</f>
        <v>Bulk Order</v>
      </c>
    </row>
    <row r="98" ht="15.75" customHeight="1">
      <c r="A98" s="2" t="s">
        <v>323</v>
      </c>
      <c r="B98" s="3">
        <v>45798.0</v>
      </c>
      <c r="C98" s="2" t="s">
        <v>324</v>
      </c>
      <c r="D98" s="2" t="s">
        <v>325</v>
      </c>
      <c r="E98" s="2">
        <v>62.0</v>
      </c>
      <c r="F98" s="2" t="s">
        <v>37</v>
      </c>
      <c r="G98" s="2" t="s">
        <v>30</v>
      </c>
      <c r="H98" s="2" t="s">
        <v>64</v>
      </c>
      <c r="I98" s="2" t="s">
        <v>44</v>
      </c>
      <c r="J98" s="2">
        <v>9.0</v>
      </c>
      <c r="K98" s="4">
        <v>6282.93</v>
      </c>
      <c r="L98" s="5">
        <v>56546.37</v>
      </c>
      <c r="N98" s="2" t="str">
        <f>IF(Table1[Quantity] &gt; 2, "Bulk Order", "Standard Order")</f>
        <v>Bulk Order</v>
      </c>
    </row>
    <row r="99" ht="15.75" customHeight="1">
      <c r="A99" s="2" t="s">
        <v>326</v>
      </c>
      <c r="B99" s="3">
        <v>45801.0</v>
      </c>
      <c r="C99" s="2" t="s">
        <v>327</v>
      </c>
      <c r="D99" s="2" t="s">
        <v>310</v>
      </c>
      <c r="E99" s="2">
        <v>21.0</v>
      </c>
      <c r="F99" s="2" t="s">
        <v>29</v>
      </c>
      <c r="G99" s="2" t="s">
        <v>30</v>
      </c>
      <c r="H99" s="2" t="s">
        <v>64</v>
      </c>
      <c r="I99" s="2" t="s">
        <v>44</v>
      </c>
      <c r="J99" s="2">
        <v>3.0</v>
      </c>
      <c r="K99" s="4">
        <v>39157.52</v>
      </c>
      <c r="L99" s="5">
        <v>117472.56</v>
      </c>
      <c r="N99" s="2" t="str">
        <f>IF(Table1[Quantity] &gt; 2, "Bulk Order", "Standard Order")</f>
        <v>Bulk Order</v>
      </c>
    </row>
    <row r="100" ht="15.75" customHeight="1">
      <c r="A100" s="2" t="s">
        <v>328</v>
      </c>
      <c r="B100" s="3">
        <v>45860.0</v>
      </c>
      <c r="C100" s="2" t="s">
        <v>329</v>
      </c>
      <c r="D100" s="2" t="s">
        <v>330</v>
      </c>
      <c r="E100" s="2">
        <v>48.0</v>
      </c>
      <c r="F100" s="2" t="s">
        <v>37</v>
      </c>
      <c r="G100" s="2" t="s">
        <v>30</v>
      </c>
      <c r="H100" s="2" t="s">
        <v>42</v>
      </c>
      <c r="I100" s="2" t="s">
        <v>41</v>
      </c>
      <c r="J100" s="2">
        <v>6.0</v>
      </c>
      <c r="K100" s="4">
        <v>18842.34</v>
      </c>
      <c r="L100" s="5">
        <v>113054.04</v>
      </c>
      <c r="N100" s="2" t="str">
        <f>IF(Table1[Quantity] &gt; 2, "Bulk Order", "Standard Order")</f>
        <v>Bulk Order</v>
      </c>
    </row>
    <row r="101" ht="15.75" customHeight="1">
      <c r="A101" s="2" t="s">
        <v>331</v>
      </c>
      <c r="B101" s="3">
        <v>45799.0</v>
      </c>
      <c r="C101" s="2" t="s">
        <v>332</v>
      </c>
      <c r="D101" s="2" t="s">
        <v>333</v>
      </c>
      <c r="E101" s="2">
        <v>57.0</v>
      </c>
      <c r="F101" s="2" t="s">
        <v>37</v>
      </c>
      <c r="G101" s="2" t="s">
        <v>30</v>
      </c>
      <c r="H101" s="2" t="s">
        <v>64</v>
      </c>
      <c r="I101" s="2" t="s">
        <v>44</v>
      </c>
      <c r="J101" s="2">
        <v>9.0</v>
      </c>
      <c r="K101" s="4">
        <v>44772.96</v>
      </c>
      <c r="L101" s="5">
        <v>402956.64</v>
      </c>
      <c r="N101" s="2" t="str">
        <f>IF(Table1[Quantity] &gt; 2, "Bulk Order", "Standard Order")</f>
        <v>Bulk Order</v>
      </c>
    </row>
    <row r="102" ht="15.75" customHeight="1">
      <c r="A102" s="2" t="s">
        <v>334</v>
      </c>
      <c r="B102" s="3">
        <v>45810.0</v>
      </c>
      <c r="C102" s="2" t="s">
        <v>335</v>
      </c>
      <c r="D102" s="2" t="s">
        <v>336</v>
      </c>
      <c r="E102" s="2">
        <v>60.0</v>
      </c>
      <c r="F102" s="2" t="s">
        <v>29</v>
      </c>
      <c r="G102" s="2" t="s">
        <v>30</v>
      </c>
      <c r="H102" s="2" t="s">
        <v>64</v>
      </c>
      <c r="I102" s="2" t="s">
        <v>44</v>
      </c>
      <c r="J102" s="2">
        <v>6.0</v>
      </c>
      <c r="K102" s="4">
        <v>16882.56</v>
      </c>
      <c r="L102" s="5">
        <v>101295.36</v>
      </c>
      <c r="N102" s="2" t="str">
        <f>IF(Table1[Quantity] &gt; 2, "Bulk Order", "Standard Order")</f>
        <v>Bulk Order</v>
      </c>
    </row>
    <row r="103" ht="15.75" customHeight="1">
      <c r="A103" s="2" t="s">
        <v>337</v>
      </c>
      <c r="B103" s="3">
        <v>45666.0</v>
      </c>
      <c r="C103" s="2" t="s">
        <v>338</v>
      </c>
      <c r="D103" s="2" t="s">
        <v>339</v>
      </c>
      <c r="E103" s="2">
        <v>60.0</v>
      </c>
      <c r="F103" s="2" t="s">
        <v>37</v>
      </c>
      <c r="G103" s="2" t="s">
        <v>30</v>
      </c>
      <c r="H103" s="2" t="s">
        <v>60</v>
      </c>
      <c r="I103" s="2" t="s">
        <v>43</v>
      </c>
      <c r="J103" s="2">
        <v>1.0</v>
      </c>
      <c r="K103" s="4">
        <v>21553.66</v>
      </c>
      <c r="L103" s="5">
        <v>21553.66</v>
      </c>
      <c r="N103" s="2" t="str">
        <f>IF(Table1[Quantity] &gt; 2, "Bulk Order", "Standard Order")</f>
        <v>Standard Order</v>
      </c>
    </row>
    <row r="104" ht="15.75" customHeight="1">
      <c r="A104" s="2" t="s">
        <v>340</v>
      </c>
      <c r="B104" s="3">
        <v>45859.0</v>
      </c>
      <c r="C104" s="2" t="s">
        <v>341</v>
      </c>
      <c r="D104" s="2" t="s">
        <v>342</v>
      </c>
      <c r="E104" s="2">
        <v>20.0</v>
      </c>
      <c r="F104" s="2" t="s">
        <v>29</v>
      </c>
      <c r="G104" s="2" t="s">
        <v>30</v>
      </c>
      <c r="H104" s="2" t="s">
        <v>64</v>
      </c>
      <c r="I104" s="2" t="s">
        <v>44</v>
      </c>
      <c r="J104" s="2">
        <v>7.0</v>
      </c>
      <c r="K104" s="4">
        <v>47413.32</v>
      </c>
      <c r="L104" s="5">
        <v>331893.24</v>
      </c>
      <c r="N104" s="2" t="str">
        <f>IF(Table1[Quantity] &gt; 2, "Bulk Order", "Standard Order")</f>
        <v>Bulk Order</v>
      </c>
    </row>
    <row r="105" ht="15.75" customHeight="1">
      <c r="A105" s="2" t="s">
        <v>343</v>
      </c>
      <c r="B105" s="3">
        <v>45752.0</v>
      </c>
      <c r="C105" s="2" t="s">
        <v>344</v>
      </c>
      <c r="D105" s="2" t="s">
        <v>345</v>
      </c>
      <c r="E105" s="2">
        <v>24.0</v>
      </c>
      <c r="F105" s="2" t="s">
        <v>29</v>
      </c>
      <c r="G105" s="2" t="s">
        <v>30</v>
      </c>
      <c r="H105" s="2" t="s">
        <v>64</v>
      </c>
      <c r="I105" s="2" t="s">
        <v>44</v>
      </c>
      <c r="J105" s="2">
        <v>5.0</v>
      </c>
      <c r="K105" s="4">
        <v>48228.96</v>
      </c>
      <c r="L105" s="5">
        <v>241144.8</v>
      </c>
      <c r="N105" s="2" t="str">
        <f>IF(Table1[Quantity] &gt; 2, "Bulk Order", "Standard Order")</f>
        <v>Bulk Order</v>
      </c>
    </row>
    <row r="106" ht="15.75" customHeight="1">
      <c r="A106" s="2" t="s">
        <v>346</v>
      </c>
      <c r="B106" s="3">
        <v>45733.0</v>
      </c>
      <c r="C106" s="2" t="s">
        <v>347</v>
      </c>
      <c r="D106" s="2" t="s">
        <v>348</v>
      </c>
      <c r="E106" s="2">
        <v>26.0</v>
      </c>
      <c r="F106" s="2" t="s">
        <v>37</v>
      </c>
      <c r="G106" s="2" t="s">
        <v>30</v>
      </c>
      <c r="H106" s="2" t="s">
        <v>74</v>
      </c>
      <c r="I106" s="2" t="s">
        <v>45</v>
      </c>
      <c r="J106" s="2">
        <v>2.0</v>
      </c>
      <c r="K106" s="4">
        <v>43357.83</v>
      </c>
      <c r="L106" s="5">
        <v>86715.66</v>
      </c>
      <c r="N106" s="2" t="str">
        <f>IF(Table1[Quantity] &gt; 2, "Bulk Order", "Standard Order")</f>
        <v>Standard Order</v>
      </c>
    </row>
    <row r="107" ht="15.75" customHeight="1">
      <c r="A107" s="2" t="s">
        <v>349</v>
      </c>
      <c r="B107" s="3">
        <v>45803.0</v>
      </c>
      <c r="C107" s="2" t="s">
        <v>350</v>
      </c>
      <c r="D107" s="2" t="s">
        <v>240</v>
      </c>
      <c r="E107" s="2">
        <v>37.0</v>
      </c>
      <c r="F107" s="2" t="s">
        <v>29</v>
      </c>
      <c r="G107" s="2" t="s">
        <v>30</v>
      </c>
      <c r="H107" s="2" t="s">
        <v>64</v>
      </c>
      <c r="I107" s="2" t="s">
        <v>44</v>
      </c>
      <c r="J107" s="2">
        <v>2.0</v>
      </c>
      <c r="K107" s="4">
        <v>47996.02</v>
      </c>
      <c r="L107" s="5">
        <v>95992.04</v>
      </c>
      <c r="N107" s="2" t="str">
        <f>IF(Table1[Quantity] &gt; 2, "Bulk Order", "Standard Order")</f>
        <v>Standard Order</v>
      </c>
    </row>
    <row r="108" ht="15.75" customHeight="1">
      <c r="A108" s="2" t="s">
        <v>351</v>
      </c>
      <c r="B108" s="3">
        <v>45866.0</v>
      </c>
      <c r="C108" s="2" t="s">
        <v>352</v>
      </c>
      <c r="D108" s="2" t="s">
        <v>353</v>
      </c>
      <c r="E108" s="2">
        <v>54.0</v>
      </c>
      <c r="F108" s="2" t="s">
        <v>29</v>
      </c>
      <c r="G108" s="2" t="s">
        <v>30</v>
      </c>
      <c r="H108" s="2" t="s">
        <v>42</v>
      </c>
      <c r="I108" s="2" t="s">
        <v>41</v>
      </c>
      <c r="J108" s="2">
        <v>4.0</v>
      </c>
      <c r="K108" s="4">
        <v>7779.34</v>
      </c>
      <c r="L108" s="5">
        <v>31117.36</v>
      </c>
      <c r="N108" s="2" t="str">
        <f>IF(Table1[Quantity] &gt; 2, "Bulk Order", "Standard Order")</f>
        <v>Bulk Order</v>
      </c>
    </row>
    <row r="109" ht="15.75" customHeight="1">
      <c r="A109" s="2" t="s">
        <v>354</v>
      </c>
      <c r="B109" s="3">
        <v>45666.0</v>
      </c>
      <c r="C109" s="2" t="s">
        <v>355</v>
      </c>
      <c r="D109" s="2" t="s">
        <v>356</v>
      </c>
      <c r="E109" s="2">
        <v>58.0</v>
      </c>
      <c r="F109" s="2" t="s">
        <v>37</v>
      </c>
      <c r="G109" s="2" t="s">
        <v>30</v>
      </c>
      <c r="H109" s="2" t="s">
        <v>74</v>
      </c>
      <c r="I109" s="2" t="s">
        <v>45</v>
      </c>
      <c r="J109" s="2">
        <v>5.0</v>
      </c>
      <c r="K109" s="4">
        <v>7521.13</v>
      </c>
      <c r="L109" s="5">
        <v>37605.65</v>
      </c>
      <c r="N109" s="2" t="str">
        <f>IF(Table1[Quantity] &gt; 2, "Bulk Order", "Standard Order")</f>
        <v>Bulk Order</v>
      </c>
    </row>
    <row r="110" ht="15.75" customHeight="1">
      <c r="A110" s="2" t="s">
        <v>357</v>
      </c>
      <c r="B110" s="3">
        <v>46010.0</v>
      </c>
      <c r="C110" s="2" t="s">
        <v>358</v>
      </c>
      <c r="D110" s="2" t="s">
        <v>359</v>
      </c>
      <c r="E110" s="2">
        <v>37.0</v>
      </c>
      <c r="F110" s="2" t="s">
        <v>37</v>
      </c>
      <c r="G110" s="2" t="s">
        <v>30</v>
      </c>
      <c r="H110" s="2" t="s">
        <v>42</v>
      </c>
      <c r="I110" s="2" t="s">
        <v>41</v>
      </c>
      <c r="J110" s="2">
        <v>4.0</v>
      </c>
      <c r="K110" s="4">
        <v>22929.61</v>
      </c>
      <c r="L110" s="5">
        <v>91718.44</v>
      </c>
      <c r="N110" s="2" t="str">
        <f>IF(Table1[Quantity] &gt; 2, "Bulk Order", "Standard Order")</f>
        <v>Bulk Order</v>
      </c>
    </row>
    <row r="111" ht="15.75" customHeight="1">
      <c r="A111" s="2" t="s">
        <v>360</v>
      </c>
      <c r="B111" s="3">
        <v>45951.0</v>
      </c>
      <c r="C111" s="2" t="s">
        <v>361</v>
      </c>
      <c r="D111" s="2" t="s">
        <v>362</v>
      </c>
      <c r="E111" s="2">
        <v>39.0</v>
      </c>
      <c r="F111" s="2" t="s">
        <v>29</v>
      </c>
      <c r="G111" s="2" t="s">
        <v>30</v>
      </c>
      <c r="H111" s="2" t="s">
        <v>56</v>
      </c>
      <c r="I111" s="2" t="s">
        <v>43</v>
      </c>
      <c r="J111" s="2">
        <v>3.0</v>
      </c>
      <c r="K111" s="4">
        <v>39619.15</v>
      </c>
      <c r="L111" s="5">
        <v>118857.45</v>
      </c>
      <c r="N111" s="2" t="str">
        <f>IF(Table1[Quantity] &gt; 2, "Bulk Order", "Standard Order")</f>
        <v>Bulk Order</v>
      </c>
    </row>
    <row r="112" ht="15.75" customHeight="1">
      <c r="A112" s="2" t="s">
        <v>363</v>
      </c>
      <c r="B112" s="3">
        <v>45999.0</v>
      </c>
      <c r="C112" s="2" t="s">
        <v>307</v>
      </c>
      <c r="D112" s="2" t="s">
        <v>364</v>
      </c>
      <c r="E112" s="2">
        <v>36.0</v>
      </c>
      <c r="F112" s="2" t="s">
        <v>29</v>
      </c>
      <c r="G112" s="2" t="s">
        <v>30</v>
      </c>
      <c r="H112" s="2" t="s">
        <v>56</v>
      </c>
      <c r="I112" s="2" t="s">
        <v>43</v>
      </c>
      <c r="J112" s="2">
        <v>7.0</v>
      </c>
      <c r="K112" s="4">
        <v>15799.46</v>
      </c>
      <c r="L112" s="5">
        <v>110596.22</v>
      </c>
      <c r="N112" s="2" t="str">
        <f>IF(Table1[Quantity] &gt; 2, "Bulk Order", "Standard Order")</f>
        <v>Bulk Order</v>
      </c>
    </row>
    <row r="113" ht="15.75" customHeight="1">
      <c r="A113" s="2" t="s">
        <v>365</v>
      </c>
      <c r="B113" s="3">
        <v>45974.0</v>
      </c>
      <c r="C113" s="2" t="s">
        <v>366</v>
      </c>
      <c r="D113" s="2" t="s">
        <v>367</v>
      </c>
      <c r="E113" s="2">
        <v>50.0</v>
      </c>
      <c r="F113" s="2" t="s">
        <v>37</v>
      </c>
      <c r="G113" s="2" t="s">
        <v>30</v>
      </c>
      <c r="H113" s="2" t="s">
        <v>31</v>
      </c>
      <c r="I113" s="2" t="s">
        <v>32</v>
      </c>
      <c r="J113" s="2">
        <v>10.0</v>
      </c>
      <c r="K113" s="4">
        <v>9123.6</v>
      </c>
      <c r="L113" s="5">
        <v>91236.0</v>
      </c>
      <c r="N113" s="2" t="str">
        <f>IF(Table1[Quantity] &gt; 2, "Bulk Order", "Standard Order")</f>
        <v>Bulk Order</v>
      </c>
    </row>
    <row r="114" ht="15.75" customHeight="1">
      <c r="A114" s="2" t="s">
        <v>368</v>
      </c>
      <c r="B114" s="3">
        <v>45872.0</v>
      </c>
      <c r="C114" s="2" t="s">
        <v>369</v>
      </c>
      <c r="D114" s="2" t="s">
        <v>370</v>
      </c>
      <c r="E114" s="2">
        <v>39.0</v>
      </c>
      <c r="F114" s="2" t="s">
        <v>29</v>
      </c>
      <c r="G114" s="2" t="s">
        <v>30</v>
      </c>
      <c r="H114" s="2" t="s">
        <v>31</v>
      </c>
      <c r="I114" s="2" t="s">
        <v>32</v>
      </c>
      <c r="J114" s="2">
        <v>10.0</v>
      </c>
      <c r="K114" s="4">
        <v>40522.56</v>
      </c>
      <c r="L114" s="5">
        <v>405225.6</v>
      </c>
      <c r="N114" s="2" t="str">
        <f>IF(Table1[Quantity] &gt; 2, "Bulk Order", "Standard Order")</f>
        <v>Bulk Order</v>
      </c>
    </row>
    <row r="115" ht="15.75" customHeight="1">
      <c r="A115" s="2" t="s">
        <v>371</v>
      </c>
      <c r="B115" s="3">
        <v>45675.0</v>
      </c>
      <c r="C115" s="2" t="s">
        <v>372</v>
      </c>
      <c r="D115" s="2" t="s">
        <v>373</v>
      </c>
      <c r="E115" s="2">
        <v>32.0</v>
      </c>
      <c r="F115" s="2" t="s">
        <v>29</v>
      </c>
      <c r="G115" s="2" t="s">
        <v>30</v>
      </c>
      <c r="H115" s="2" t="s">
        <v>64</v>
      </c>
      <c r="I115" s="2" t="s">
        <v>44</v>
      </c>
      <c r="J115" s="2">
        <v>1.0</v>
      </c>
      <c r="K115" s="4">
        <v>46629.03</v>
      </c>
      <c r="L115" s="5">
        <v>46629.03</v>
      </c>
      <c r="N115" s="2" t="str">
        <f>IF(Table1[Quantity] &gt; 2, "Bulk Order", "Standard Order")</f>
        <v>Standard Order</v>
      </c>
    </row>
    <row r="116" ht="15.75" customHeight="1">
      <c r="A116" s="2" t="s">
        <v>374</v>
      </c>
      <c r="B116" s="3">
        <v>46004.0</v>
      </c>
      <c r="C116" s="2" t="s">
        <v>375</v>
      </c>
      <c r="D116" s="2" t="s">
        <v>70</v>
      </c>
      <c r="E116" s="2">
        <v>62.0</v>
      </c>
      <c r="F116" s="2" t="s">
        <v>37</v>
      </c>
      <c r="G116" s="2" t="s">
        <v>30</v>
      </c>
      <c r="H116" s="2" t="s">
        <v>60</v>
      </c>
      <c r="I116" s="2" t="s">
        <v>43</v>
      </c>
      <c r="J116" s="2">
        <v>7.0</v>
      </c>
      <c r="K116" s="4">
        <v>31015.64</v>
      </c>
      <c r="L116" s="5">
        <v>217109.48</v>
      </c>
      <c r="N116" s="2" t="str">
        <f>IF(Table1[Quantity] &gt; 2, "Bulk Order", "Standard Order")</f>
        <v>Bulk Order</v>
      </c>
    </row>
    <row r="117" ht="15.75" customHeight="1">
      <c r="A117" s="2" t="s">
        <v>376</v>
      </c>
      <c r="B117" s="3">
        <v>45712.0</v>
      </c>
      <c r="C117" s="2" t="s">
        <v>377</v>
      </c>
      <c r="D117" s="2" t="s">
        <v>378</v>
      </c>
      <c r="E117" s="2">
        <v>64.0</v>
      </c>
      <c r="F117" s="2" t="s">
        <v>29</v>
      </c>
      <c r="G117" s="2" t="s">
        <v>30</v>
      </c>
      <c r="H117" s="2" t="s">
        <v>56</v>
      </c>
      <c r="I117" s="2" t="s">
        <v>43</v>
      </c>
      <c r="J117" s="2">
        <v>2.0</v>
      </c>
      <c r="K117" s="4">
        <v>4160.77</v>
      </c>
      <c r="L117" s="5">
        <v>8321.54</v>
      </c>
      <c r="N117" s="2" t="str">
        <f>IF(Table1[Quantity] &gt; 2, "Bulk Order", "Standard Order")</f>
        <v>Standard Order</v>
      </c>
    </row>
    <row r="118" ht="15.75" customHeight="1">
      <c r="A118" s="2" t="s">
        <v>137</v>
      </c>
      <c r="B118" s="3">
        <v>45697.0</v>
      </c>
      <c r="C118" s="2" t="s">
        <v>254</v>
      </c>
      <c r="D118" s="2" t="s">
        <v>210</v>
      </c>
      <c r="E118" s="2">
        <v>62.0</v>
      </c>
      <c r="F118" s="2" t="s">
        <v>37</v>
      </c>
      <c r="G118" s="2" t="s">
        <v>30</v>
      </c>
      <c r="H118" s="2" t="s">
        <v>56</v>
      </c>
      <c r="I118" s="2" t="s">
        <v>43</v>
      </c>
      <c r="J118" s="2">
        <v>1.0</v>
      </c>
      <c r="K118" s="4">
        <v>34619.77</v>
      </c>
      <c r="L118" s="5">
        <v>34619.77</v>
      </c>
      <c r="N118" s="2" t="str">
        <f>IF(Table1[Quantity] &gt; 2, "Bulk Order", "Standard Order")</f>
        <v>Standard Order</v>
      </c>
    </row>
    <row r="119" ht="15.75" customHeight="1">
      <c r="A119" s="2" t="s">
        <v>379</v>
      </c>
      <c r="B119" s="3">
        <v>45999.0</v>
      </c>
      <c r="C119" s="2" t="s">
        <v>380</v>
      </c>
      <c r="D119" s="2" t="s">
        <v>381</v>
      </c>
      <c r="E119" s="2">
        <v>48.0</v>
      </c>
      <c r="F119" s="2" t="s">
        <v>29</v>
      </c>
      <c r="G119" s="2" t="s">
        <v>30</v>
      </c>
      <c r="H119" s="2" t="s">
        <v>74</v>
      </c>
      <c r="I119" s="2" t="s">
        <v>45</v>
      </c>
      <c r="J119" s="2">
        <v>5.0</v>
      </c>
      <c r="K119" s="4">
        <v>30847.69</v>
      </c>
      <c r="L119" s="5">
        <v>154238.45</v>
      </c>
      <c r="N119" s="2" t="str">
        <f>IF(Table1[Quantity] &gt; 2, "Bulk Order", "Standard Order")</f>
        <v>Bulk Order</v>
      </c>
    </row>
    <row r="120" ht="15.75" customHeight="1">
      <c r="A120" s="2" t="s">
        <v>382</v>
      </c>
      <c r="B120" s="3">
        <v>45843.0</v>
      </c>
      <c r="C120" s="2" t="s">
        <v>383</v>
      </c>
      <c r="D120" s="2" t="s">
        <v>384</v>
      </c>
      <c r="E120" s="2">
        <v>44.0</v>
      </c>
      <c r="F120" s="2" t="s">
        <v>29</v>
      </c>
      <c r="G120" s="2" t="s">
        <v>30</v>
      </c>
      <c r="H120" s="2" t="s">
        <v>56</v>
      </c>
      <c r="I120" s="2" t="s">
        <v>43</v>
      </c>
      <c r="J120" s="2">
        <v>6.0</v>
      </c>
      <c r="K120" s="4">
        <v>6287.85</v>
      </c>
      <c r="L120" s="5">
        <v>37727.1</v>
      </c>
      <c r="N120" s="2" t="str">
        <f>IF(Table1[Quantity] &gt; 2, "Bulk Order", "Standard Order")</f>
        <v>Bulk Order</v>
      </c>
    </row>
    <row r="121" ht="15.75" customHeight="1">
      <c r="A121" s="2" t="s">
        <v>385</v>
      </c>
      <c r="B121" s="3">
        <v>45877.0</v>
      </c>
      <c r="C121" s="2" t="s">
        <v>386</v>
      </c>
      <c r="D121" s="2" t="s">
        <v>387</v>
      </c>
      <c r="E121" s="2">
        <v>27.0</v>
      </c>
      <c r="F121" s="2" t="s">
        <v>29</v>
      </c>
      <c r="G121" s="2" t="s">
        <v>30</v>
      </c>
      <c r="H121" s="2" t="s">
        <v>64</v>
      </c>
      <c r="I121" s="2" t="s">
        <v>44</v>
      </c>
      <c r="J121" s="2">
        <v>1.0</v>
      </c>
      <c r="K121" s="4">
        <v>31739.18</v>
      </c>
      <c r="L121" s="5">
        <v>31739.18</v>
      </c>
      <c r="N121" s="2" t="str">
        <f>IF(Table1[Quantity] &gt; 2, "Bulk Order", "Standard Order")</f>
        <v>Standard Order</v>
      </c>
    </row>
    <row r="122" ht="15.75" customHeight="1">
      <c r="A122" s="2" t="s">
        <v>388</v>
      </c>
      <c r="B122" s="3">
        <v>45746.0</v>
      </c>
      <c r="C122" s="2" t="s">
        <v>389</v>
      </c>
      <c r="D122" s="2" t="s">
        <v>390</v>
      </c>
      <c r="E122" s="2">
        <v>54.0</v>
      </c>
      <c r="F122" s="2" t="s">
        <v>29</v>
      </c>
      <c r="G122" s="2" t="s">
        <v>30</v>
      </c>
      <c r="H122" s="2" t="s">
        <v>31</v>
      </c>
      <c r="I122" s="2" t="s">
        <v>32</v>
      </c>
      <c r="J122" s="2">
        <v>10.0</v>
      </c>
      <c r="K122" s="4">
        <v>46852.2</v>
      </c>
      <c r="L122" s="5">
        <v>468522.0</v>
      </c>
      <c r="N122" s="2" t="str">
        <f>IF(Table1[Quantity] &gt; 2, "Bulk Order", "Standard Order")</f>
        <v>Bulk Order</v>
      </c>
    </row>
    <row r="123" ht="15.75" customHeight="1">
      <c r="A123" s="2" t="s">
        <v>391</v>
      </c>
      <c r="B123" s="3">
        <v>45716.0</v>
      </c>
      <c r="C123" s="2" t="s">
        <v>392</v>
      </c>
      <c r="D123" s="2" t="s">
        <v>83</v>
      </c>
      <c r="E123" s="2">
        <v>31.0</v>
      </c>
      <c r="F123" s="2" t="s">
        <v>37</v>
      </c>
      <c r="G123" s="2" t="s">
        <v>30</v>
      </c>
      <c r="H123" s="2" t="s">
        <v>56</v>
      </c>
      <c r="I123" s="2" t="s">
        <v>43</v>
      </c>
      <c r="J123" s="2">
        <v>4.0</v>
      </c>
      <c r="K123" s="4">
        <v>26365.27</v>
      </c>
      <c r="L123" s="5">
        <v>105461.08</v>
      </c>
      <c r="N123" s="2" t="str">
        <f>IF(Table1[Quantity] &gt; 2, "Bulk Order", "Standard Order")</f>
        <v>Bulk Order</v>
      </c>
    </row>
    <row r="124" ht="15.75" customHeight="1">
      <c r="A124" s="2" t="s">
        <v>393</v>
      </c>
      <c r="B124" s="3">
        <v>45782.0</v>
      </c>
      <c r="C124" s="2" t="s">
        <v>394</v>
      </c>
      <c r="D124" s="2" t="s">
        <v>395</v>
      </c>
      <c r="E124" s="2">
        <v>51.0</v>
      </c>
      <c r="F124" s="2" t="s">
        <v>37</v>
      </c>
      <c r="G124" s="2" t="s">
        <v>396</v>
      </c>
      <c r="H124" s="2" t="s">
        <v>64</v>
      </c>
      <c r="I124" s="2" t="s">
        <v>44</v>
      </c>
      <c r="J124" s="2">
        <v>3.0</v>
      </c>
      <c r="K124" s="4">
        <v>14151.42</v>
      </c>
      <c r="L124" s="5">
        <v>42454.26</v>
      </c>
      <c r="N124" s="2" t="str">
        <f>IF(Table1[Quantity] &gt; 2, "Bulk Order", "Standard Order")</f>
        <v>Bulk Order</v>
      </c>
    </row>
    <row r="125" ht="15.75" customHeight="1">
      <c r="A125" s="2" t="s">
        <v>397</v>
      </c>
      <c r="B125" s="3">
        <v>45899.0</v>
      </c>
      <c r="C125" s="2" t="s">
        <v>398</v>
      </c>
      <c r="D125" s="2" t="s">
        <v>399</v>
      </c>
      <c r="E125" s="2">
        <v>36.0</v>
      </c>
      <c r="F125" s="2" t="s">
        <v>29</v>
      </c>
      <c r="G125" s="2" t="s">
        <v>396</v>
      </c>
      <c r="H125" s="2" t="s">
        <v>64</v>
      </c>
      <c r="I125" s="2" t="s">
        <v>44</v>
      </c>
      <c r="J125" s="2">
        <v>10.0</v>
      </c>
      <c r="K125" s="4">
        <v>20111.09</v>
      </c>
      <c r="L125" s="5">
        <v>201110.9</v>
      </c>
      <c r="N125" s="2" t="str">
        <f>IF(Table1[Quantity] &gt; 2, "Bulk Order", "Standard Order")</f>
        <v>Bulk Order</v>
      </c>
    </row>
    <row r="126" ht="15.75" customHeight="1">
      <c r="A126" s="2" t="s">
        <v>400</v>
      </c>
      <c r="B126" s="3">
        <v>45991.0</v>
      </c>
      <c r="C126" s="2" t="s">
        <v>401</v>
      </c>
      <c r="D126" s="2" t="s">
        <v>402</v>
      </c>
      <c r="E126" s="2">
        <v>30.0</v>
      </c>
      <c r="F126" s="2" t="s">
        <v>29</v>
      </c>
      <c r="G126" s="2" t="s">
        <v>396</v>
      </c>
      <c r="H126" s="2" t="s">
        <v>42</v>
      </c>
      <c r="I126" s="2" t="s">
        <v>41</v>
      </c>
      <c r="J126" s="2">
        <v>10.0</v>
      </c>
      <c r="K126" s="4">
        <v>40109.12</v>
      </c>
      <c r="L126" s="5">
        <v>401091.2</v>
      </c>
      <c r="N126" s="2" t="str">
        <f>IF(Table1[Quantity] &gt; 2, "Bulk Order", "Standard Order")</f>
        <v>Bulk Order</v>
      </c>
    </row>
    <row r="127" ht="15.75" customHeight="1">
      <c r="A127" s="2" t="s">
        <v>403</v>
      </c>
      <c r="B127" s="3">
        <v>45708.0</v>
      </c>
      <c r="C127" s="2" t="s">
        <v>404</v>
      </c>
      <c r="D127" s="2" t="s">
        <v>405</v>
      </c>
      <c r="E127" s="2">
        <v>23.0</v>
      </c>
      <c r="F127" s="2" t="s">
        <v>37</v>
      </c>
      <c r="G127" s="2" t="s">
        <v>396</v>
      </c>
      <c r="H127" s="2" t="s">
        <v>74</v>
      </c>
      <c r="I127" s="2" t="s">
        <v>45</v>
      </c>
      <c r="J127" s="2">
        <v>7.0</v>
      </c>
      <c r="K127" s="4">
        <v>40746.79</v>
      </c>
      <c r="L127" s="5">
        <v>285227.53</v>
      </c>
      <c r="N127" s="2" t="str">
        <f>IF(Table1[Quantity] &gt; 2, "Bulk Order", "Standard Order")</f>
        <v>Bulk Order</v>
      </c>
    </row>
    <row r="128" ht="15.75" customHeight="1">
      <c r="A128" s="2" t="s">
        <v>406</v>
      </c>
      <c r="B128" s="3">
        <v>45902.0</v>
      </c>
      <c r="C128" s="2" t="s">
        <v>407</v>
      </c>
      <c r="D128" s="2" t="s">
        <v>408</v>
      </c>
      <c r="E128" s="2">
        <v>42.0</v>
      </c>
      <c r="F128" s="2" t="s">
        <v>29</v>
      </c>
      <c r="G128" s="2" t="s">
        <v>396</v>
      </c>
      <c r="H128" s="2" t="s">
        <v>56</v>
      </c>
      <c r="I128" s="2" t="s">
        <v>43</v>
      </c>
      <c r="J128" s="2">
        <v>2.0</v>
      </c>
      <c r="K128" s="4">
        <v>47649.61</v>
      </c>
      <c r="L128" s="5">
        <v>95299.22</v>
      </c>
      <c r="N128" s="2" t="str">
        <f>IF(Table1[Quantity] &gt; 2, "Bulk Order", "Standard Order")</f>
        <v>Standard Order</v>
      </c>
    </row>
    <row r="129" ht="15.75" customHeight="1">
      <c r="A129" s="2" t="s">
        <v>409</v>
      </c>
      <c r="B129" s="3">
        <v>45816.0</v>
      </c>
      <c r="C129" s="2" t="s">
        <v>410</v>
      </c>
      <c r="D129" s="2" t="s">
        <v>325</v>
      </c>
      <c r="E129" s="2">
        <v>33.0</v>
      </c>
      <c r="F129" s="2" t="s">
        <v>37</v>
      </c>
      <c r="G129" s="2" t="s">
        <v>396</v>
      </c>
      <c r="H129" s="2" t="s">
        <v>60</v>
      </c>
      <c r="I129" s="2" t="s">
        <v>43</v>
      </c>
      <c r="J129" s="2">
        <v>6.0</v>
      </c>
      <c r="K129" s="4">
        <v>4656.1</v>
      </c>
      <c r="L129" s="5">
        <v>27936.6</v>
      </c>
      <c r="N129" s="2" t="str">
        <f>IF(Table1[Quantity] &gt; 2, "Bulk Order", "Standard Order")</f>
        <v>Bulk Order</v>
      </c>
    </row>
    <row r="130" ht="15.75" customHeight="1">
      <c r="A130" s="2" t="s">
        <v>411</v>
      </c>
      <c r="B130" s="3">
        <v>45845.0</v>
      </c>
      <c r="C130" s="2" t="s">
        <v>412</v>
      </c>
      <c r="D130" s="2" t="s">
        <v>413</v>
      </c>
      <c r="E130" s="2">
        <v>58.0</v>
      </c>
      <c r="F130" s="2" t="s">
        <v>37</v>
      </c>
      <c r="G130" s="2" t="s">
        <v>396</v>
      </c>
      <c r="H130" s="2" t="s">
        <v>31</v>
      </c>
      <c r="I130" s="2" t="s">
        <v>32</v>
      </c>
      <c r="J130" s="2">
        <v>7.0</v>
      </c>
      <c r="K130" s="4">
        <v>42345.82</v>
      </c>
      <c r="L130" s="5">
        <v>296420.74</v>
      </c>
      <c r="N130" s="2" t="str">
        <f>IF(Table1[Quantity] &gt; 2, "Bulk Order", "Standard Order")</f>
        <v>Bulk Order</v>
      </c>
    </row>
    <row r="131" ht="15.75" customHeight="1">
      <c r="A131" s="2" t="s">
        <v>414</v>
      </c>
      <c r="B131" s="3">
        <v>45977.0</v>
      </c>
      <c r="C131" s="2" t="s">
        <v>415</v>
      </c>
      <c r="D131" s="2" t="s">
        <v>416</v>
      </c>
      <c r="E131" s="2">
        <v>26.0</v>
      </c>
      <c r="F131" s="2" t="s">
        <v>37</v>
      </c>
      <c r="G131" s="2" t="s">
        <v>396</v>
      </c>
      <c r="H131" s="2" t="s">
        <v>42</v>
      </c>
      <c r="I131" s="2" t="s">
        <v>41</v>
      </c>
      <c r="J131" s="2">
        <v>2.0</v>
      </c>
      <c r="K131" s="4">
        <v>33304.17</v>
      </c>
      <c r="L131" s="5">
        <v>66608.34</v>
      </c>
      <c r="N131" s="2" t="str">
        <f>IF(Table1[Quantity] &gt; 2, "Bulk Order", "Standard Order")</f>
        <v>Standard Order</v>
      </c>
    </row>
    <row r="132" ht="15.75" customHeight="1">
      <c r="A132" s="2" t="s">
        <v>417</v>
      </c>
      <c r="B132" s="3">
        <v>45713.0</v>
      </c>
      <c r="C132" s="2" t="s">
        <v>418</v>
      </c>
      <c r="D132" s="2" t="s">
        <v>345</v>
      </c>
      <c r="E132" s="2">
        <v>39.0</v>
      </c>
      <c r="F132" s="2" t="s">
        <v>29</v>
      </c>
      <c r="G132" s="2" t="s">
        <v>396</v>
      </c>
      <c r="H132" s="2" t="s">
        <v>74</v>
      </c>
      <c r="I132" s="2" t="s">
        <v>45</v>
      </c>
      <c r="J132" s="2">
        <v>5.0</v>
      </c>
      <c r="K132" s="4">
        <v>27366.58</v>
      </c>
      <c r="L132" s="5">
        <v>136832.9</v>
      </c>
      <c r="N132" s="2" t="str">
        <f>IF(Table1[Quantity] &gt; 2, "Bulk Order", "Standard Order")</f>
        <v>Bulk Order</v>
      </c>
    </row>
    <row r="133" ht="15.75" customHeight="1">
      <c r="A133" s="2" t="s">
        <v>419</v>
      </c>
      <c r="B133" s="3">
        <v>45884.0</v>
      </c>
      <c r="C133" s="2" t="s">
        <v>420</v>
      </c>
      <c r="D133" s="2" t="s">
        <v>421</v>
      </c>
      <c r="E133" s="2">
        <v>26.0</v>
      </c>
      <c r="F133" s="2" t="s">
        <v>29</v>
      </c>
      <c r="G133" s="2" t="s">
        <v>396</v>
      </c>
      <c r="H133" s="2" t="s">
        <v>42</v>
      </c>
      <c r="I133" s="2" t="s">
        <v>41</v>
      </c>
      <c r="J133" s="2">
        <v>8.0</v>
      </c>
      <c r="K133" s="4">
        <v>13645.41</v>
      </c>
      <c r="L133" s="5">
        <v>109163.28</v>
      </c>
      <c r="N133" s="2" t="str">
        <f>IF(Table1[Quantity] &gt; 2, "Bulk Order", "Standard Order")</f>
        <v>Bulk Order</v>
      </c>
    </row>
    <row r="134" ht="15.75" customHeight="1">
      <c r="A134" s="2" t="s">
        <v>422</v>
      </c>
      <c r="B134" s="3">
        <v>46023.0</v>
      </c>
      <c r="C134" s="2" t="s">
        <v>309</v>
      </c>
      <c r="D134" s="2" t="s">
        <v>333</v>
      </c>
      <c r="E134" s="2">
        <v>62.0</v>
      </c>
      <c r="F134" s="2" t="s">
        <v>29</v>
      </c>
      <c r="G134" s="2" t="s">
        <v>396</v>
      </c>
      <c r="H134" s="2" t="s">
        <v>31</v>
      </c>
      <c r="I134" s="2" t="s">
        <v>32</v>
      </c>
      <c r="J134" s="2">
        <v>1.0</v>
      </c>
      <c r="K134" s="4">
        <v>35862.34</v>
      </c>
      <c r="L134" s="5">
        <v>35862.34</v>
      </c>
      <c r="N134" s="2" t="str">
        <f>IF(Table1[Quantity] &gt; 2, "Bulk Order", "Standard Order")</f>
        <v>Standard Order</v>
      </c>
    </row>
    <row r="135" ht="15.75" customHeight="1">
      <c r="A135" s="2" t="s">
        <v>423</v>
      </c>
      <c r="B135" s="3">
        <v>45723.0</v>
      </c>
      <c r="C135" s="2" t="s">
        <v>424</v>
      </c>
      <c r="D135" s="2" t="s">
        <v>425</v>
      </c>
      <c r="E135" s="2">
        <v>59.0</v>
      </c>
      <c r="F135" s="2" t="s">
        <v>37</v>
      </c>
      <c r="G135" s="2" t="s">
        <v>396</v>
      </c>
      <c r="H135" s="2" t="s">
        <v>56</v>
      </c>
      <c r="I135" s="2" t="s">
        <v>43</v>
      </c>
      <c r="J135" s="2">
        <v>8.0</v>
      </c>
      <c r="K135" s="4">
        <v>17841.4</v>
      </c>
      <c r="L135" s="5">
        <v>142731.2</v>
      </c>
      <c r="N135" s="2" t="str">
        <f>IF(Table1[Quantity] &gt; 2, "Bulk Order", "Standard Order")</f>
        <v>Bulk Order</v>
      </c>
    </row>
    <row r="136" ht="15.75" customHeight="1">
      <c r="A136" s="2" t="s">
        <v>426</v>
      </c>
      <c r="B136" s="3">
        <v>45763.0</v>
      </c>
      <c r="C136" s="2" t="s">
        <v>427</v>
      </c>
      <c r="D136" s="2" t="s">
        <v>428</v>
      </c>
      <c r="E136" s="2">
        <v>44.0</v>
      </c>
      <c r="F136" s="2" t="s">
        <v>29</v>
      </c>
      <c r="G136" s="2" t="s">
        <v>396</v>
      </c>
      <c r="H136" s="2" t="s">
        <v>60</v>
      </c>
      <c r="I136" s="2" t="s">
        <v>43</v>
      </c>
      <c r="J136" s="2">
        <v>8.0</v>
      </c>
      <c r="K136" s="4">
        <v>20498.74</v>
      </c>
      <c r="L136" s="5">
        <v>163989.92</v>
      </c>
      <c r="N136" s="2" t="str">
        <f>IF(Table1[Quantity] &gt; 2, "Bulk Order", "Standard Order")</f>
        <v>Bulk Order</v>
      </c>
    </row>
    <row r="137" ht="15.75" customHeight="1">
      <c r="A137" s="2" t="s">
        <v>429</v>
      </c>
      <c r="B137" s="3">
        <v>45968.0</v>
      </c>
      <c r="C137" s="2" t="s">
        <v>430</v>
      </c>
      <c r="D137" s="2" t="s">
        <v>431</v>
      </c>
      <c r="E137" s="2">
        <v>32.0</v>
      </c>
      <c r="F137" s="2" t="s">
        <v>37</v>
      </c>
      <c r="G137" s="2" t="s">
        <v>396</v>
      </c>
      <c r="H137" s="2" t="s">
        <v>64</v>
      </c>
      <c r="I137" s="2" t="s">
        <v>44</v>
      </c>
      <c r="J137" s="2">
        <v>3.0</v>
      </c>
      <c r="K137" s="4">
        <v>47917.49</v>
      </c>
      <c r="L137" s="5">
        <v>143752.47</v>
      </c>
      <c r="N137" s="2" t="str">
        <f>IF(Table1[Quantity] &gt; 2, "Bulk Order", "Standard Order")</f>
        <v>Bulk Order</v>
      </c>
    </row>
    <row r="138" ht="15.75" customHeight="1">
      <c r="A138" s="2" t="s">
        <v>432</v>
      </c>
      <c r="B138" s="3">
        <v>45674.0</v>
      </c>
      <c r="C138" s="2" t="s">
        <v>433</v>
      </c>
      <c r="D138" s="2" t="s">
        <v>89</v>
      </c>
      <c r="E138" s="2">
        <v>49.0</v>
      </c>
      <c r="F138" s="2" t="s">
        <v>37</v>
      </c>
      <c r="G138" s="2" t="s">
        <v>396</v>
      </c>
      <c r="H138" s="2" t="s">
        <v>42</v>
      </c>
      <c r="I138" s="2" t="s">
        <v>41</v>
      </c>
      <c r="J138" s="2">
        <v>4.0</v>
      </c>
      <c r="K138" s="4">
        <v>25002.72</v>
      </c>
      <c r="L138" s="5">
        <v>100010.88</v>
      </c>
      <c r="N138" s="2" t="str">
        <f>IF(Table1[Quantity] &gt; 2, "Bulk Order", "Standard Order")</f>
        <v>Bulk Order</v>
      </c>
    </row>
    <row r="139" ht="15.75" customHeight="1">
      <c r="A139" s="2" t="s">
        <v>434</v>
      </c>
      <c r="B139" s="3">
        <v>45918.0</v>
      </c>
      <c r="C139" s="2" t="s">
        <v>435</v>
      </c>
      <c r="D139" s="2" t="s">
        <v>436</v>
      </c>
      <c r="E139" s="2">
        <v>33.0</v>
      </c>
      <c r="F139" s="2" t="s">
        <v>29</v>
      </c>
      <c r="G139" s="2" t="s">
        <v>396</v>
      </c>
      <c r="H139" s="2" t="s">
        <v>74</v>
      </c>
      <c r="I139" s="2" t="s">
        <v>45</v>
      </c>
      <c r="J139" s="2">
        <v>4.0</v>
      </c>
      <c r="K139" s="4">
        <v>36875.19</v>
      </c>
      <c r="L139" s="5">
        <v>147500.76</v>
      </c>
      <c r="N139" s="2" t="str">
        <f>IF(Table1[Quantity] &gt; 2, "Bulk Order", "Standard Order")</f>
        <v>Bulk Order</v>
      </c>
    </row>
    <row r="140" ht="15.75" customHeight="1">
      <c r="A140" s="2" t="s">
        <v>437</v>
      </c>
      <c r="B140" s="3">
        <v>45726.0</v>
      </c>
      <c r="C140" s="2" t="s">
        <v>438</v>
      </c>
      <c r="D140" s="2" t="s">
        <v>439</v>
      </c>
      <c r="E140" s="2">
        <v>45.0</v>
      </c>
      <c r="F140" s="2" t="s">
        <v>29</v>
      </c>
      <c r="G140" s="2" t="s">
        <v>396</v>
      </c>
      <c r="H140" s="2" t="s">
        <v>56</v>
      </c>
      <c r="I140" s="2" t="s">
        <v>43</v>
      </c>
      <c r="J140" s="2">
        <v>10.0</v>
      </c>
      <c r="K140" s="4">
        <v>42943.17</v>
      </c>
      <c r="L140" s="5">
        <v>429431.7</v>
      </c>
      <c r="N140" s="2" t="str">
        <f>IF(Table1[Quantity] &gt; 2, "Bulk Order", "Standard Order")</f>
        <v>Bulk Order</v>
      </c>
    </row>
    <row r="141" ht="15.75" customHeight="1">
      <c r="A141" s="2" t="s">
        <v>440</v>
      </c>
      <c r="B141" s="3">
        <v>45845.0</v>
      </c>
      <c r="C141" s="2" t="s">
        <v>441</v>
      </c>
      <c r="D141" s="2" t="s">
        <v>193</v>
      </c>
      <c r="E141" s="2">
        <v>51.0</v>
      </c>
      <c r="F141" s="2" t="s">
        <v>29</v>
      </c>
      <c r="G141" s="2" t="s">
        <v>396</v>
      </c>
      <c r="H141" s="2" t="s">
        <v>56</v>
      </c>
      <c r="I141" s="2" t="s">
        <v>43</v>
      </c>
      <c r="J141" s="2">
        <v>6.0</v>
      </c>
      <c r="K141" s="4">
        <v>20416.04</v>
      </c>
      <c r="L141" s="5">
        <v>122496.24</v>
      </c>
      <c r="N141" s="2" t="str">
        <f>IF(Table1[Quantity] &gt; 2, "Bulk Order", "Standard Order")</f>
        <v>Bulk Order</v>
      </c>
    </row>
    <row r="142" ht="15.75" customHeight="1">
      <c r="A142" s="2" t="s">
        <v>442</v>
      </c>
      <c r="B142" s="3">
        <v>45961.0</v>
      </c>
      <c r="C142" s="2" t="s">
        <v>443</v>
      </c>
      <c r="D142" s="2" t="s">
        <v>444</v>
      </c>
      <c r="E142" s="2">
        <v>55.0</v>
      </c>
      <c r="F142" s="2" t="s">
        <v>37</v>
      </c>
      <c r="G142" s="2" t="s">
        <v>396</v>
      </c>
      <c r="H142" s="2" t="s">
        <v>31</v>
      </c>
      <c r="I142" s="2" t="s">
        <v>32</v>
      </c>
      <c r="J142" s="2">
        <v>8.0</v>
      </c>
      <c r="K142" s="4">
        <v>29735.57</v>
      </c>
      <c r="L142" s="5">
        <v>237884.56</v>
      </c>
      <c r="N142" s="2" t="str">
        <f>IF(Table1[Quantity] &gt; 2, "Bulk Order", "Standard Order")</f>
        <v>Bulk Order</v>
      </c>
    </row>
    <row r="143" ht="15.75" customHeight="1">
      <c r="A143" s="2" t="s">
        <v>445</v>
      </c>
      <c r="B143" s="3">
        <v>45774.0</v>
      </c>
      <c r="C143" s="2" t="s">
        <v>446</v>
      </c>
      <c r="D143" s="2" t="s">
        <v>230</v>
      </c>
      <c r="E143" s="2">
        <v>33.0</v>
      </c>
      <c r="F143" s="2" t="s">
        <v>37</v>
      </c>
      <c r="G143" s="2" t="s">
        <v>396</v>
      </c>
      <c r="H143" s="2" t="s">
        <v>60</v>
      </c>
      <c r="I143" s="2" t="s">
        <v>43</v>
      </c>
      <c r="J143" s="2">
        <v>9.0</v>
      </c>
      <c r="K143" s="4">
        <v>16767.5</v>
      </c>
      <c r="L143" s="5">
        <v>150907.5</v>
      </c>
      <c r="N143" s="2" t="str">
        <f>IF(Table1[Quantity] &gt; 2, "Bulk Order", "Standard Order")</f>
        <v>Bulk Order</v>
      </c>
    </row>
    <row r="144" ht="15.75" customHeight="1">
      <c r="A144" s="2" t="s">
        <v>447</v>
      </c>
      <c r="B144" s="3">
        <v>45908.0</v>
      </c>
      <c r="C144" s="2" t="s">
        <v>448</v>
      </c>
      <c r="D144" s="2" t="s">
        <v>449</v>
      </c>
      <c r="E144" s="2">
        <v>43.0</v>
      </c>
      <c r="F144" s="2" t="s">
        <v>29</v>
      </c>
      <c r="G144" s="2" t="s">
        <v>396</v>
      </c>
      <c r="H144" s="2" t="s">
        <v>74</v>
      </c>
      <c r="I144" s="2" t="s">
        <v>45</v>
      </c>
      <c r="J144" s="2">
        <v>5.0</v>
      </c>
      <c r="K144" s="4">
        <v>7642.84</v>
      </c>
      <c r="L144" s="5">
        <v>38214.2</v>
      </c>
      <c r="N144" s="2" t="str">
        <f>IF(Table1[Quantity] &gt; 2, "Bulk Order", "Standard Order")</f>
        <v>Bulk Order</v>
      </c>
    </row>
    <row r="145" ht="15.75" customHeight="1">
      <c r="A145" s="2" t="s">
        <v>450</v>
      </c>
      <c r="B145" s="3">
        <v>45988.0</v>
      </c>
      <c r="C145" s="2" t="s">
        <v>451</v>
      </c>
      <c r="D145" s="2" t="s">
        <v>452</v>
      </c>
      <c r="E145" s="2">
        <v>60.0</v>
      </c>
      <c r="F145" s="2" t="s">
        <v>29</v>
      </c>
      <c r="G145" s="2" t="s">
        <v>396</v>
      </c>
      <c r="H145" s="2" t="s">
        <v>60</v>
      </c>
      <c r="I145" s="2" t="s">
        <v>43</v>
      </c>
      <c r="J145" s="2">
        <v>10.0</v>
      </c>
      <c r="K145" s="4">
        <v>1959.05</v>
      </c>
      <c r="L145" s="5">
        <v>19590.5</v>
      </c>
      <c r="N145" s="2" t="str">
        <f>IF(Table1[Quantity] &gt; 2, "Bulk Order", "Standard Order")</f>
        <v>Bulk Order</v>
      </c>
    </row>
    <row r="146" ht="15.75" customHeight="1">
      <c r="A146" s="2" t="s">
        <v>453</v>
      </c>
      <c r="B146" s="3">
        <v>45956.0</v>
      </c>
      <c r="C146" s="2" t="s">
        <v>454</v>
      </c>
      <c r="D146" s="2" t="s">
        <v>455</v>
      </c>
      <c r="E146" s="2">
        <v>23.0</v>
      </c>
      <c r="F146" s="2" t="s">
        <v>29</v>
      </c>
      <c r="G146" s="2" t="s">
        <v>396</v>
      </c>
      <c r="H146" s="2" t="s">
        <v>74</v>
      </c>
      <c r="I146" s="2" t="s">
        <v>45</v>
      </c>
      <c r="J146" s="2">
        <v>1.0</v>
      </c>
      <c r="K146" s="4">
        <v>35489.21</v>
      </c>
      <c r="L146" s="5">
        <v>35489.21</v>
      </c>
      <c r="N146" s="2" t="str">
        <f>IF(Table1[Quantity] &gt; 2, "Bulk Order", "Standard Order")</f>
        <v>Standard Order</v>
      </c>
    </row>
    <row r="147" ht="15.75" customHeight="1">
      <c r="A147" s="2" t="s">
        <v>456</v>
      </c>
      <c r="B147" s="3">
        <v>45894.0</v>
      </c>
      <c r="C147" s="2" t="s">
        <v>457</v>
      </c>
      <c r="D147" s="2" t="s">
        <v>458</v>
      </c>
      <c r="E147" s="2">
        <v>37.0</v>
      </c>
      <c r="F147" s="2" t="s">
        <v>29</v>
      </c>
      <c r="G147" s="2" t="s">
        <v>396</v>
      </c>
      <c r="H147" s="2" t="s">
        <v>60</v>
      </c>
      <c r="I147" s="2" t="s">
        <v>43</v>
      </c>
      <c r="J147" s="2">
        <v>9.0</v>
      </c>
      <c r="K147" s="4">
        <v>14462.81</v>
      </c>
      <c r="L147" s="5">
        <v>130165.29</v>
      </c>
      <c r="N147" s="2" t="str">
        <f>IF(Table1[Quantity] &gt; 2, "Bulk Order", "Standard Order")</f>
        <v>Bulk Order</v>
      </c>
    </row>
    <row r="148" ht="15.75" customHeight="1">
      <c r="A148" s="2" t="s">
        <v>459</v>
      </c>
      <c r="B148" s="3">
        <v>45736.0</v>
      </c>
      <c r="C148" s="2" t="s">
        <v>460</v>
      </c>
      <c r="D148" s="2" t="s">
        <v>461</v>
      </c>
      <c r="E148" s="2">
        <v>23.0</v>
      </c>
      <c r="F148" s="2" t="s">
        <v>37</v>
      </c>
      <c r="G148" s="2" t="s">
        <v>396</v>
      </c>
      <c r="H148" s="2" t="s">
        <v>31</v>
      </c>
      <c r="I148" s="2" t="s">
        <v>32</v>
      </c>
      <c r="J148" s="2">
        <v>5.0</v>
      </c>
      <c r="K148" s="4">
        <v>9508.4</v>
      </c>
      <c r="L148" s="5">
        <v>47542.0</v>
      </c>
      <c r="N148" s="2" t="str">
        <f>IF(Table1[Quantity] &gt; 2, "Bulk Order", "Standard Order")</f>
        <v>Bulk Order</v>
      </c>
    </row>
    <row r="149" ht="15.75" customHeight="1">
      <c r="A149" s="2" t="s">
        <v>462</v>
      </c>
      <c r="B149" s="3">
        <v>45739.0</v>
      </c>
      <c r="C149" s="2" t="s">
        <v>463</v>
      </c>
      <c r="D149" s="2" t="s">
        <v>464</v>
      </c>
      <c r="E149" s="2">
        <v>60.0</v>
      </c>
      <c r="F149" s="2" t="s">
        <v>29</v>
      </c>
      <c r="G149" s="2" t="s">
        <v>396</v>
      </c>
      <c r="H149" s="2" t="s">
        <v>56</v>
      </c>
      <c r="I149" s="2" t="s">
        <v>43</v>
      </c>
      <c r="J149" s="2">
        <v>4.0</v>
      </c>
      <c r="K149" s="4">
        <v>39054.95</v>
      </c>
      <c r="L149" s="5">
        <v>156219.8</v>
      </c>
      <c r="N149" s="2" t="str">
        <f>IF(Table1[Quantity] &gt; 2, "Bulk Order", "Standard Order")</f>
        <v>Bulk Order</v>
      </c>
    </row>
    <row r="150" ht="15.75" customHeight="1">
      <c r="A150" s="2" t="s">
        <v>465</v>
      </c>
      <c r="B150" s="3">
        <v>46011.0</v>
      </c>
      <c r="C150" s="2" t="s">
        <v>466</v>
      </c>
      <c r="D150" s="2" t="s">
        <v>467</v>
      </c>
      <c r="F150" s="2" t="s">
        <v>29</v>
      </c>
      <c r="G150" s="2" t="s">
        <v>396</v>
      </c>
      <c r="H150" s="2" t="s">
        <v>56</v>
      </c>
      <c r="I150" s="2" t="s">
        <v>43</v>
      </c>
      <c r="J150" s="2">
        <v>7.0</v>
      </c>
      <c r="K150" s="4">
        <v>19829.73</v>
      </c>
      <c r="L150" s="5">
        <v>138808.11</v>
      </c>
      <c r="N150" s="2" t="str">
        <f>IF(Table1[Quantity] &gt; 2, "Bulk Order", "Standard Order")</f>
        <v>Bulk Order</v>
      </c>
    </row>
    <row r="151" ht="15.75" customHeight="1">
      <c r="A151" s="2" t="s">
        <v>468</v>
      </c>
      <c r="B151" s="3">
        <v>46017.0</v>
      </c>
      <c r="C151" s="2" t="s">
        <v>469</v>
      </c>
      <c r="D151" s="2" t="s">
        <v>381</v>
      </c>
      <c r="E151" s="2">
        <v>18.0</v>
      </c>
      <c r="F151" s="2" t="s">
        <v>37</v>
      </c>
      <c r="G151" s="2" t="s">
        <v>396</v>
      </c>
      <c r="H151" s="2" t="s">
        <v>56</v>
      </c>
      <c r="I151" s="2" t="s">
        <v>43</v>
      </c>
      <c r="J151" s="2">
        <v>6.0</v>
      </c>
      <c r="K151" s="4">
        <v>14220.63</v>
      </c>
      <c r="L151" s="5">
        <v>85323.78</v>
      </c>
      <c r="N151" s="2" t="str">
        <f>IF(Table1[Quantity] &gt; 2, "Bulk Order", "Standard Order")</f>
        <v>Bulk Order</v>
      </c>
    </row>
    <row r="152" ht="15.75" customHeight="1">
      <c r="A152" s="2" t="s">
        <v>470</v>
      </c>
      <c r="B152" s="3">
        <v>46019.0</v>
      </c>
      <c r="C152" s="2" t="s">
        <v>471</v>
      </c>
      <c r="D152" s="2" t="s">
        <v>472</v>
      </c>
      <c r="E152" s="2">
        <v>26.0</v>
      </c>
      <c r="F152" s="2" t="s">
        <v>29</v>
      </c>
      <c r="G152" s="2" t="s">
        <v>396</v>
      </c>
      <c r="H152" s="2" t="s">
        <v>60</v>
      </c>
      <c r="I152" s="2" t="s">
        <v>43</v>
      </c>
      <c r="J152" s="2">
        <v>6.0</v>
      </c>
      <c r="K152" s="4">
        <v>5810.2</v>
      </c>
      <c r="L152" s="5">
        <v>34861.2</v>
      </c>
      <c r="N152" s="2" t="str">
        <f>IF(Table1[Quantity] &gt; 2, "Bulk Order", "Standard Order")</f>
        <v>Bulk Order</v>
      </c>
    </row>
    <row r="153" ht="15.75" customHeight="1">
      <c r="A153" s="2" t="s">
        <v>473</v>
      </c>
      <c r="B153" s="3">
        <v>45668.0</v>
      </c>
      <c r="C153" s="2" t="s">
        <v>474</v>
      </c>
      <c r="D153" s="2" t="s">
        <v>475</v>
      </c>
      <c r="E153" s="2">
        <v>52.0</v>
      </c>
      <c r="F153" s="2" t="s">
        <v>37</v>
      </c>
      <c r="G153" s="2" t="s">
        <v>396</v>
      </c>
      <c r="H153" s="2" t="s">
        <v>56</v>
      </c>
      <c r="I153" s="2" t="s">
        <v>43</v>
      </c>
      <c r="J153" s="2">
        <v>3.0</v>
      </c>
      <c r="K153" s="4">
        <v>35888.63</v>
      </c>
      <c r="L153" s="5">
        <v>107665.89</v>
      </c>
      <c r="N153" s="2" t="str">
        <f>IF(Table1[Quantity] &gt; 2, "Bulk Order", "Standard Order")</f>
        <v>Bulk Order</v>
      </c>
    </row>
    <row r="154" ht="15.75" customHeight="1">
      <c r="A154" s="2" t="s">
        <v>476</v>
      </c>
      <c r="B154" s="3">
        <v>45965.0</v>
      </c>
      <c r="C154" s="2" t="s">
        <v>477</v>
      </c>
      <c r="D154" s="2" t="s">
        <v>266</v>
      </c>
      <c r="E154" s="2">
        <v>46.0</v>
      </c>
      <c r="F154" s="2" t="s">
        <v>37</v>
      </c>
      <c r="G154" s="2" t="s">
        <v>396</v>
      </c>
      <c r="H154" s="2" t="s">
        <v>60</v>
      </c>
      <c r="I154" s="2" t="s">
        <v>43</v>
      </c>
      <c r="J154" s="2">
        <v>9.0</v>
      </c>
      <c r="K154" s="4">
        <v>23875.09</v>
      </c>
      <c r="L154" s="5">
        <v>214875.81</v>
      </c>
      <c r="N154" s="2" t="str">
        <f>IF(Table1[Quantity] &gt; 2, "Bulk Order", "Standard Order")</f>
        <v>Bulk Order</v>
      </c>
    </row>
    <row r="155" ht="15.75" customHeight="1">
      <c r="A155" s="2" t="s">
        <v>478</v>
      </c>
      <c r="B155" s="3">
        <v>45741.0</v>
      </c>
      <c r="C155" s="2" t="s">
        <v>479</v>
      </c>
      <c r="D155" s="2" t="s">
        <v>480</v>
      </c>
      <c r="E155" s="2">
        <v>39.0</v>
      </c>
      <c r="F155" s="2" t="s">
        <v>37</v>
      </c>
      <c r="G155" s="2" t="s">
        <v>396</v>
      </c>
      <c r="H155" s="2" t="s">
        <v>60</v>
      </c>
      <c r="I155" s="2" t="s">
        <v>43</v>
      </c>
      <c r="J155" s="2">
        <v>4.0</v>
      </c>
      <c r="K155" s="4">
        <v>20533.23</v>
      </c>
      <c r="L155" s="5">
        <v>82132.92</v>
      </c>
      <c r="N155" s="2" t="str">
        <f>IF(Table1[Quantity] &gt; 2, "Bulk Order", "Standard Order")</f>
        <v>Bulk Order</v>
      </c>
    </row>
    <row r="156" ht="15.75" customHeight="1">
      <c r="A156" s="2" t="s">
        <v>481</v>
      </c>
      <c r="B156" s="3">
        <v>45867.0</v>
      </c>
      <c r="C156" s="2" t="s">
        <v>482</v>
      </c>
      <c r="D156" s="2" t="s">
        <v>483</v>
      </c>
      <c r="E156" s="2">
        <v>27.0</v>
      </c>
      <c r="F156" s="2" t="s">
        <v>37</v>
      </c>
      <c r="G156" s="2" t="s">
        <v>396</v>
      </c>
      <c r="H156" s="2" t="s">
        <v>42</v>
      </c>
      <c r="I156" s="2" t="s">
        <v>41</v>
      </c>
      <c r="J156" s="2">
        <v>4.0</v>
      </c>
      <c r="K156" s="4">
        <v>30974.95</v>
      </c>
      <c r="L156" s="5">
        <v>123899.8</v>
      </c>
      <c r="N156" s="2" t="str">
        <f>IF(Table1[Quantity] &gt; 2, "Bulk Order", "Standard Order")</f>
        <v>Bulk Order</v>
      </c>
    </row>
    <row r="157" ht="15.75" customHeight="1">
      <c r="A157" s="2" t="s">
        <v>484</v>
      </c>
      <c r="B157" s="3">
        <v>45816.0</v>
      </c>
      <c r="C157" s="2" t="s">
        <v>485</v>
      </c>
      <c r="D157" s="2" t="s">
        <v>486</v>
      </c>
      <c r="E157" s="2">
        <v>51.0</v>
      </c>
      <c r="F157" s="2" t="s">
        <v>29</v>
      </c>
      <c r="G157" s="2" t="s">
        <v>396</v>
      </c>
      <c r="H157" s="2" t="s">
        <v>60</v>
      </c>
      <c r="I157" s="2" t="s">
        <v>43</v>
      </c>
      <c r="J157" s="2">
        <v>8.0</v>
      </c>
      <c r="K157" s="4">
        <v>1722.06</v>
      </c>
      <c r="L157" s="5">
        <v>13776.48</v>
      </c>
      <c r="N157" s="2" t="str">
        <f>IF(Table1[Quantity] &gt; 2, "Bulk Order", "Standard Order")</f>
        <v>Bulk Order</v>
      </c>
    </row>
    <row r="158" ht="15.75" customHeight="1">
      <c r="A158" s="2" t="s">
        <v>487</v>
      </c>
      <c r="B158" s="3">
        <v>45920.0</v>
      </c>
      <c r="C158" s="2" t="s">
        <v>488</v>
      </c>
      <c r="D158" s="2" t="s">
        <v>489</v>
      </c>
      <c r="E158" s="2">
        <v>35.0</v>
      </c>
      <c r="F158" s="2" t="s">
        <v>37</v>
      </c>
      <c r="G158" s="2" t="s">
        <v>396</v>
      </c>
      <c r="H158" s="2" t="s">
        <v>56</v>
      </c>
      <c r="I158" s="2" t="s">
        <v>43</v>
      </c>
      <c r="J158" s="2">
        <v>4.0</v>
      </c>
      <c r="K158" s="4">
        <v>1935.28</v>
      </c>
      <c r="L158" s="5">
        <v>7741.12</v>
      </c>
      <c r="N158" s="2" t="str">
        <f>IF(Table1[Quantity] &gt; 2, "Bulk Order", "Standard Order")</f>
        <v>Bulk Order</v>
      </c>
    </row>
    <row r="159" ht="15.75" customHeight="1">
      <c r="A159" s="2" t="s">
        <v>490</v>
      </c>
      <c r="B159" s="3">
        <v>45895.0</v>
      </c>
      <c r="C159" s="2" t="s">
        <v>491</v>
      </c>
      <c r="D159" s="2" t="s">
        <v>492</v>
      </c>
      <c r="E159" s="2">
        <v>40.0</v>
      </c>
      <c r="F159" s="2" t="s">
        <v>37</v>
      </c>
      <c r="G159" s="2" t="s">
        <v>396</v>
      </c>
      <c r="H159" s="2" t="s">
        <v>74</v>
      </c>
      <c r="I159" s="2" t="s">
        <v>45</v>
      </c>
      <c r="J159" s="2">
        <v>8.0</v>
      </c>
      <c r="K159" s="4">
        <v>33388.11</v>
      </c>
      <c r="L159" s="5">
        <v>267104.88</v>
      </c>
      <c r="N159" s="2" t="str">
        <f>IF(Table1[Quantity] &gt; 2, "Bulk Order", "Standard Order")</f>
        <v>Bulk Order</v>
      </c>
    </row>
    <row r="160" ht="15.75" customHeight="1">
      <c r="A160" s="2" t="s">
        <v>493</v>
      </c>
      <c r="B160" s="3">
        <v>45944.0</v>
      </c>
      <c r="C160" s="2" t="s">
        <v>494</v>
      </c>
      <c r="D160" s="2" t="s">
        <v>495</v>
      </c>
      <c r="E160" s="2">
        <v>62.0</v>
      </c>
      <c r="F160" s="2" t="s">
        <v>29</v>
      </c>
      <c r="G160" s="2" t="s">
        <v>396</v>
      </c>
      <c r="H160" s="2" t="s">
        <v>64</v>
      </c>
      <c r="I160" s="2" t="s">
        <v>44</v>
      </c>
      <c r="J160" s="2">
        <v>7.0</v>
      </c>
      <c r="K160" s="4">
        <v>19261.81</v>
      </c>
      <c r="L160" s="5">
        <v>134832.67</v>
      </c>
      <c r="N160" s="2" t="str">
        <f>IF(Table1[Quantity] &gt; 2, "Bulk Order", "Standard Order")</f>
        <v>Bulk Order</v>
      </c>
    </row>
    <row r="161" ht="15.75" customHeight="1">
      <c r="A161" s="2" t="s">
        <v>496</v>
      </c>
      <c r="B161" s="3">
        <v>45921.0</v>
      </c>
      <c r="C161" s="2" t="s">
        <v>497</v>
      </c>
      <c r="D161" s="2" t="s">
        <v>498</v>
      </c>
      <c r="E161" s="2">
        <v>53.0</v>
      </c>
      <c r="F161" s="2" t="s">
        <v>29</v>
      </c>
      <c r="G161" s="2" t="s">
        <v>396</v>
      </c>
      <c r="H161" s="2" t="s">
        <v>74</v>
      </c>
      <c r="I161" s="2" t="s">
        <v>45</v>
      </c>
      <c r="J161" s="2">
        <v>5.0</v>
      </c>
      <c r="K161" s="4">
        <v>38518.95</v>
      </c>
      <c r="L161" s="5">
        <v>192594.75</v>
      </c>
      <c r="N161" s="2" t="str">
        <f>IF(Table1[Quantity] &gt; 2, "Bulk Order", "Standard Order")</f>
        <v>Bulk Order</v>
      </c>
    </row>
    <row r="162" ht="15.75" customHeight="1">
      <c r="A162" s="2" t="s">
        <v>499</v>
      </c>
      <c r="B162" s="3">
        <v>45704.0</v>
      </c>
      <c r="C162" s="2" t="s">
        <v>500</v>
      </c>
      <c r="D162" s="2" t="s">
        <v>501</v>
      </c>
      <c r="E162" s="2">
        <v>37.0</v>
      </c>
      <c r="F162" s="2" t="s">
        <v>37</v>
      </c>
      <c r="G162" s="2" t="s">
        <v>396</v>
      </c>
      <c r="H162" s="2" t="s">
        <v>64</v>
      </c>
      <c r="I162" s="2" t="s">
        <v>44</v>
      </c>
      <c r="J162" s="2">
        <v>1.0</v>
      </c>
      <c r="K162" s="4">
        <v>36943.51</v>
      </c>
      <c r="L162" s="5">
        <v>36943.51</v>
      </c>
      <c r="N162" s="2" t="str">
        <f>IF(Table1[Quantity] &gt; 2, "Bulk Order", "Standard Order")</f>
        <v>Standard Order</v>
      </c>
    </row>
    <row r="163" ht="15.75" customHeight="1">
      <c r="A163" s="2" t="s">
        <v>502</v>
      </c>
      <c r="B163" s="3">
        <v>45854.0</v>
      </c>
      <c r="C163" s="2" t="s">
        <v>503</v>
      </c>
      <c r="D163" s="2" t="s">
        <v>504</v>
      </c>
      <c r="E163" s="2">
        <v>42.0</v>
      </c>
      <c r="F163" s="2" t="s">
        <v>37</v>
      </c>
      <c r="G163" s="2" t="s">
        <v>396</v>
      </c>
      <c r="H163" s="2" t="s">
        <v>31</v>
      </c>
      <c r="I163" s="2" t="s">
        <v>32</v>
      </c>
      <c r="J163" s="2">
        <v>2.0</v>
      </c>
      <c r="K163" s="4">
        <v>33566.2</v>
      </c>
      <c r="L163" s="5">
        <v>67132.4</v>
      </c>
      <c r="N163" s="2" t="str">
        <f>IF(Table1[Quantity] &gt; 2, "Bulk Order", "Standard Order")</f>
        <v>Standard Order</v>
      </c>
    </row>
    <row r="164" ht="15.75" customHeight="1">
      <c r="A164" s="2" t="s">
        <v>505</v>
      </c>
      <c r="B164" s="3">
        <v>45683.0</v>
      </c>
      <c r="C164" s="2" t="s">
        <v>506</v>
      </c>
      <c r="D164" s="2" t="s">
        <v>507</v>
      </c>
      <c r="E164" s="2">
        <v>32.0</v>
      </c>
      <c r="F164" s="2" t="s">
        <v>29</v>
      </c>
      <c r="G164" s="2" t="s">
        <v>396</v>
      </c>
      <c r="H164" s="2" t="s">
        <v>64</v>
      </c>
      <c r="I164" s="2" t="s">
        <v>44</v>
      </c>
      <c r="J164" s="2">
        <v>5.0</v>
      </c>
      <c r="K164" s="4">
        <v>40682.5</v>
      </c>
      <c r="L164" s="5">
        <v>203412.5</v>
      </c>
      <c r="N164" s="2" t="str">
        <f>IF(Table1[Quantity] &gt; 2, "Bulk Order", "Standard Order")</f>
        <v>Bulk Order</v>
      </c>
    </row>
    <row r="165" ht="15.75" customHeight="1">
      <c r="A165" s="2" t="s">
        <v>508</v>
      </c>
      <c r="B165" s="3">
        <v>45773.0</v>
      </c>
      <c r="C165" s="2" t="s">
        <v>509</v>
      </c>
      <c r="D165" s="2" t="s">
        <v>510</v>
      </c>
      <c r="E165" s="2">
        <v>52.0</v>
      </c>
      <c r="F165" s="2" t="s">
        <v>29</v>
      </c>
      <c r="G165" s="2" t="s">
        <v>396</v>
      </c>
      <c r="H165" s="2" t="s">
        <v>42</v>
      </c>
      <c r="I165" s="2" t="s">
        <v>41</v>
      </c>
      <c r="J165" s="2">
        <v>6.0</v>
      </c>
      <c r="K165" s="4">
        <v>42742.96</v>
      </c>
      <c r="L165" s="5">
        <v>256457.76</v>
      </c>
      <c r="N165" s="2" t="str">
        <f>IF(Table1[Quantity] &gt; 2, "Bulk Order", "Standard Order")</f>
        <v>Bulk Order</v>
      </c>
    </row>
    <row r="166" ht="15.75" customHeight="1">
      <c r="A166" s="2" t="s">
        <v>511</v>
      </c>
      <c r="B166" s="3">
        <v>45716.0</v>
      </c>
      <c r="C166" s="2" t="s">
        <v>512</v>
      </c>
      <c r="D166" s="2" t="s">
        <v>63</v>
      </c>
      <c r="E166" s="2">
        <v>54.0</v>
      </c>
      <c r="F166" s="2" t="s">
        <v>29</v>
      </c>
      <c r="G166" s="2" t="s">
        <v>396</v>
      </c>
      <c r="H166" s="2" t="s">
        <v>31</v>
      </c>
      <c r="I166" s="2" t="s">
        <v>32</v>
      </c>
      <c r="J166" s="2">
        <v>3.0</v>
      </c>
      <c r="K166" s="4">
        <v>11513.96</v>
      </c>
      <c r="L166" s="5">
        <v>34541.88</v>
      </c>
      <c r="N166" s="2" t="str">
        <f>IF(Table1[Quantity] &gt; 2, "Bulk Order", "Standard Order")</f>
        <v>Bulk Order</v>
      </c>
    </row>
    <row r="167" ht="15.75" customHeight="1">
      <c r="A167" s="2" t="s">
        <v>513</v>
      </c>
      <c r="B167" s="3">
        <v>45894.0</v>
      </c>
      <c r="C167" s="2" t="s">
        <v>514</v>
      </c>
      <c r="D167" s="2" t="s">
        <v>515</v>
      </c>
      <c r="E167" s="2">
        <v>23.0</v>
      </c>
      <c r="F167" s="2" t="s">
        <v>37</v>
      </c>
      <c r="G167" s="2" t="s">
        <v>396</v>
      </c>
      <c r="H167" s="2" t="s">
        <v>56</v>
      </c>
      <c r="I167" s="2" t="s">
        <v>43</v>
      </c>
      <c r="J167" s="2">
        <v>7.0</v>
      </c>
      <c r="K167" s="4">
        <v>17055.84</v>
      </c>
      <c r="L167" s="5">
        <v>119390.88</v>
      </c>
      <c r="N167" s="2" t="str">
        <f>IF(Table1[Quantity] &gt; 2, "Bulk Order", "Standard Order")</f>
        <v>Bulk Order</v>
      </c>
    </row>
    <row r="168" ht="15.75" customHeight="1">
      <c r="A168" s="2" t="s">
        <v>516</v>
      </c>
      <c r="B168" s="3">
        <v>45985.0</v>
      </c>
      <c r="C168" s="2" t="s">
        <v>517</v>
      </c>
      <c r="D168" s="2" t="s">
        <v>518</v>
      </c>
      <c r="E168" s="2">
        <v>53.0</v>
      </c>
      <c r="F168" s="2" t="s">
        <v>29</v>
      </c>
      <c r="G168" s="2" t="s">
        <v>396</v>
      </c>
      <c r="H168" s="2" t="s">
        <v>56</v>
      </c>
      <c r="I168" s="2" t="s">
        <v>43</v>
      </c>
      <c r="J168" s="2">
        <v>10.0</v>
      </c>
      <c r="K168" s="4">
        <v>34976.79</v>
      </c>
      <c r="L168" s="5">
        <v>349767.9</v>
      </c>
      <c r="N168" s="2" t="str">
        <f>IF(Table1[Quantity] &gt; 2, "Bulk Order", "Standard Order")</f>
        <v>Bulk Order</v>
      </c>
    </row>
    <row r="169" ht="15.75" customHeight="1">
      <c r="A169" s="2" t="s">
        <v>519</v>
      </c>
      <c r="B169" s="3">
        <v>45838.0</v>
      </c>
      <c r="C169" s="2" t="s">
        <v>520</v>
      </c>
      <c r="D169" s="2" t="s">
        <v>521</v>
      </c>
      <c r="E169" s="2">
        <v>34.0</v>
      </c>
      <c r="F169" s="2" t="s">
        <v>29</v>
      </c>
      <c r="G169" s="2" t="s">
        <v>396</v>
      </c>
      <c r="H169" s="2" t="s">
        <v>74</v>
      </c>
      <c r="I169" s="2" t="s">
        <v>45</v>
      </c>
      <c r="J169" s="2">
        <v>8.0</v>
      </c>
      <c r="K169" s="4">
        <v>38672.34</v>
      </c>
      <c r="L169" s="5">
        <v>309378.72</v>
      </c>
      <c r="N169" s="2" t="str">
        <f>IF(Table1[Quantity] &gt; 2, "Bulk Order", "Standard Order")</f>
        <v>Bulk Order</v>
      </c>
    </row>
    <row r="170" ht="15.75" customHeight="1">
      <c r="A170" s="2" t="s">
        <v>522</v>
      </c>
      <c r="B170" s="3">
        <v>45739.0</v>
      </c>
      <c r="C170" s="2" t="s">
        <v>523</v>
      </c>
      <c r="D170" s="2" t="s">
        <v>480</v>
      </c>
      <c r="E170" s="2">
        <v>52.0</v>
      </c>
      <c r="F170" s="2" t="s">
        <v>37</v>
      </c>
      <c r="G170" s="2" t="s">
        <v>396</v>
      </c>
      <c r="H170" s="2" t="s">
        <v>64</v>
      </c>
      <c r="I170" s="2" t="s">
        <v>44</v>
      </c>
      <c r="J170" s="2">
        <v>1.0</v>
      </c>
      <c r="K170" s="4">
        <v>23398.57</v>
      </c>
      <c r="L170" s="5">
        <v>23398.57</v>
      </c>
      <c r="N170" s="2" t="str">
        <f>IF(Table1[Quantity] &gt; 2, "Bulk Order", "Standard Order")</f>
        <v>Standard Order</v>
      </c>
    </row>
    <row r="171" ht="15.75" customHeight="1">
      <c r="A171" s="2" t="s">
        <v>524</v>
      </c>
      <c r="B171" s="3">
        <v>45667.0</v>
      </c>
      <c r="C171" s="2" t="s">
        <v>525</v>
      </c>
      <c r="D171" s="2" t="s">
        <v>526</v>
      </c>
      <c r="E171" s="2">
        <v>53.0</v>
      </c>
      <c r="F171" s="2" t="s">
        <v>29</v>
      </c>
      <c r="G171" s="2" t="s">
        <v>396</v>
      </c>
      <c r="H171" s="2" t="s">
        <v>42</v>
      </c>
      <c r="I171" s="2" t="s">
        <v>41</v>
      </c>
      <c r="J171" s="2">
        <v>1.0</v>
      </c>
      <c r="K171" s="4">
        <v>15617.29</v>
      </c>
      <c r="L171" s="5">
        <v>15617.29</v>
      </c>
      <c r="N171" s="2" t="str">
        <f>IF(Table1[Quantity] &gt; 2, "Bulk Order", "Standard Order")</f>
        <v>Standard Order</v>
      </c>
    </row>
    <row r="172" ht="15.75" customHeight="1">
      <c r="A172" s="2" t="s">
        <v>527</v>
      </c>
      <c r="B172" s="3">
        <v>45789.0</v>
      </c>
      <c r="C172" s="2" t="s">
        <v>528</v>
      </c>
      <c r="D172" s="2" t="s">
        <v>529</v>
      </c>
      <c r="E172" s="2">
        <v>51.0</v>
      </c>
      <c r="F172" s="2" t="s">
        <v>37</v>
      </c>
      <c r="G172" s="2" t="s">
        <v>396</v>
      </c>
      <c r="H172" s="2" t="s">
        <v>56</v>
      </c>
      <c r="I172" s="2" t="s">
        <v>43</v>
      </c>
      <c r="J172" s="2">
        <v>2.0</v>
      </c>
      <c r="K172" s="4">
        <v>572.39</v>
      </c>
      <c r="L172" s="5">
        <v>1144.78</v>
      </c>
      <c r="N172" s="2" t="str">
        <f>IF(Table1[Quantity] &gt; 2, "Bulk Order", "Standard Order")</f>
        <v>Standard Order</v>
      </c>
    </row>
    <row r="173" ht="15.75" customHeight="1">
      <c r="A173" s="2" t="s">
        <v>530</v>
      </c>
      <c r="B173" s="3">
        <v>45702.0</v>
      </c>
      <c r="C173" s="2" t="s">
        <v>531</v>
      </c>
      <c r="D173" s="2" t="s">
        <v>532</v>
      </c>
      <c r="E173" s="2">
        <v>19.0</v>
      </c>
      <c r="F173" s="2" t="s">
        <v>37</v>
      </c>
      <c r="G173" s="2" t="s">
        <v>396</v>
      </c>
      <c r="H173" s="2" t="s">
        <v>74</v>
      </c>
      <c r="I173" s="2" t="s">
        <v>45</v>
      </c>
      <c r="J173" s="2">
        <v>6.0</v>
      </c>
      <c r="K173" s="4">
        <v>33928.27</v>
      </c>
      <c r="L173" s="5">
        <v>203569.62</v>
      </c>
      <c r="N173" s="2" t="str">
        <f>IF(Table1[Quantity] &gt; 2, "Bulk Order", "Standard Order")</f>
        <v>Bulk Order</v>
      </c>
    </row>
    <row r="174" ht="15.75" customHeight="1">
      <c r="A174" s="2" t="s">
        <v>533</v>
      </c>
      <c r="B174" s="3">
        <v>45859.0</v>
      </c>
      <c r="C174" s="2" t="s">
        <v>534</v>
      </c>
      <c r="D174" s="2" t="s">
        <v>184</v>
      </c>
      <c r="E174" s="2">
        <v>28.0</v>
      </c>
      <c r="F174" s="2" t="s">
        <v>37</v>
      </c>
      <c r="G174" s="2" t="s">
        <v>396</v>
      </c>
      <c r="H174" s="2" t="s">
        <v>64</v>
      </c>
      <c r="I174" s="2" t="s">
        <v>44</v>
      </c>
      <c r="J174" s="2">
        <v>9.0</v>
      </c>
      <c r="K174" s="4">
        <v>12279.11</v>
      </c>
      <c r="L174" s="5">
        <v>110511.99</v>
      </c>
      <c r="N174" s="2" t="str">
        <f>IF(Table1[Quantity] &gt; 2, "Bulk Order", "Standard Order")</f>
        <v>Bulk Order</v>
      </c>
    </row>
    <row r="175" ht="15.75" customHeight="1">
      <c r="A175" s="2" t="s">
        <v>535</v>
      </c>
      <c r="B175" s="3">
        <v>45692.0</v>
      </c>
      <c r="C175" s="2" t="s">
        <v>536</v>
      </c>
      <c r="D175" s="2" t="s">
        <v>537</v>
      </c>
      <c r="E175" s="2">
        <v>28.0</v>
      </c>
      <c r="F175" s="2" t="s">
        <v>37</v>
      </c>
      <c r="G175" s="2" t="s">
        <v>396</v>
      </c>
      <c r="H175" s="2" t="s">
        <v>56</v>
      </c>
      <c r="I175" s="2" t="s">
        <v>43</v>
      </c>
      <c r="J175" s="2">
        <v>6.0</v>
      </c>
      <c r="K175" s="4">
        <v>5060.75</v>
      </c>
      <c r="L175" s="5">
        <v>30364.5</v>
      </c>
      <c r="N175" s="2" t="str">
        <f>IF(Table1[Quantity] &gt; 2, "Bulk Order", "Standard Order")</f>
        <v>Bulk Order</v>
      </c>
    </row>
    <row r="176" ht="15.75" customHeight="1">
      <c r="A176" s="2" t="s">
        <v>538</v>
      </c>
      <c r="B176" s="3">
        <v>45818.0</v>
      </c>
      <c r="C176" s="2" t="s">
        <v>539</v>
      </c>
      <c r="D176" s="2" t="s">
        <v>431</v>
      </c>
      <c r="E176" s="2">
        <v>33.0</v>
      </c>
      <c r="F176" s="2" t="s">
        <v>37</v>
      </c>
      <c r="G176" s="2" t="s">
        <v>396</v>
      </c>
      <c r="H176" s="2" t="s">
        <v>56</v>
      </c>
      <c r="I176" s="2" t="s">
        <v>43</v>
      </c>
      <c r="J176" s="2">
        <v>10.0</v>
      </c>
      <c r="K176" s="4">
        <v>43997.22</v>
      </c>
      <c r="L176" s="5">
        <v>439972.2</v>
      </c>
      <c r="N176" s="2" t="str">
        <f>IF(Table1[Quantity] &gt; 2, "Bulk Order", "Standard Order")</f>
        <v>Bulk Order</v>
      </c>
    </row>
    <row r="177" ht="15.75" customHeight="1">
      <c r="A177" s="2" t="s">
        <v>540</v>
      </c>
      <c r="B177" s="3">
        <v>45899.0</v>
      </c>
      <c r="C177" s="2" t="s">
        <v>541</v>
      </c>
      <c r="D177" s="2" t="s">
        <v>542</v>
      </c>
      <c r="E177" s="2">
        <v>21.0</v>
      </c>
      <c r="F177" s="2" t="s">
        <v>37</v>
      </c>
      <c r="G177" s="2" t="s">
        <v>396</v>
      </c>
      <c r="H177" s="2" t="s">
        <v>74</v>
      </c>
      <c r="I177" s="2" t="s">
        <v>45</v>
      </c>
      <c r="J177" s="2">
        <v>5.0</v>
      </c>
      <c r="K177" s="4">
        <v>3146.73</v>
      </c>
      <c r="L177" s="5">
        <v>15733.65</v>
      </c>
      <c r="N177" s="2" t="str">
        <f>IF(Table1[Quantity] &gt; 2, "Bulk Order", "Standard Order")</f>
        <v>Bulk Order</v>
      </c>
    </row>
    <row r="178" ht="15.75" customHeight="1">
      <c r="A178" s="2" t="s">
        <v>543</v>
      </c>
      <c r="B178" s="3">
        <v>45931.0</v>
      </c>
      <c r="C178" s="2" t="s">
        <v>544</v>
      </c>
      <c r="D178" s="2" t="s">
        <v>28</v>
      </c>
      <c r="E178" s="2">
        <v>47.0</v>
      </c>
      <c r="F178" s="2" t="s">
        <v>37</v>
      </c>
      <c r="G178" s="2" t="s">
        <v>396</v>
      </c>
      <c r="H178" s="2" t="s">
        <v>56</v>
      </c>
      <c r="I178" s="2" t="s">
        <v>43</v>
      </c>
      <c r="J178" s="2">
        <v>3.0</v>
      </c>
      <c r="K178" s="4">
        <v>28342.81</v>
      </c>
      <c r="L178" s="5">
        <v>85028.43</v>
      </c>
      <c r="N178" s="2" t="str">
        <f>IF(Table1[Quantity] &gt; 2, "Bulk Order", "Standard Order")</f>
        <v>Bulk Order</v>
      </c>
    </row>
    <row r="179" ht="15.75" customHeight="1">
      <c r="A179" s="2" t="s">
        <v>545</v>
      </c>
      <c r="B179" s="3">
        <v>45915.0</v>
      </c>
      <c r="C179" s="2" t="s">
        <v>120</v>
      </c>
      <c r="D179" s="2" t="s">
        <v>139</v>
      </c>
      <c r="E179" s="2">
        <v>57.0</v>
      </c>
      <c r="F179" s="2" t="s">
        <v>29</v>
      </c>
      <c r="G179" s="2" t="s">
        <v>396</v>
      </c>
      <c r="H179" s="2" t="s">
        <v>60</v>
      </c>
      <c r="I179" s="2" t="s">
        <v>43</v>
      </c>
      <c r="J179" s="2">
        <v>1.0</v>
      </c>
      <c r="K179" s="4">
        <v>5815.69</v>
      </c>
      <c r="L179" s="5">
        <v>5815.69</v>
      </c>
      <c r="N179" s="2" t="str">
        <f>IF(Table1[Quantity] &gt; 2, "Bulk Order", "Standard Order")</f>
        <v>Standard Order</v>
      </c>
    </row>
    <row r="180" ht="15.75" customHeight="1">
      <c r="A180" s="2" t="s">
        <v>546</v>
      </c>
      <c r="B180" s="3">
        <v>45775.0</v>
      </c>
      <c r="C180" s="2" t="s">
        <v>547</v>
      </c>
      <c r="D180" s="2" t="s">
        <v>193</v>
      </c>
      <c r="E180" s="2">
        <v>38.0</v>
      </c>
      <c r="F180" s="2" t="s">
        <v>29</v>
      </c>
      <c r="G180" s="2" t="s">
        <v>396</v>
      </c>
      <c r="H180" s="2" t="s">
        <v>42</v>
      </c>
      <c r="I180" s="2" t="s">
        <v>41</v>
      </c>
      <c r="J180" s="2">
        <v>9.0</v>
      </c>
      <c r="K180" s="4">
        <v>41434.83</v>
      </c>
      <c r="L180" s="5">
        <v>372913.47</v>
      </c>
      <c r="N180" s="2" t="str">
        <f>IF(Table1[Quantity] &gt; 2, "Bulk Order", "Standard Order")</f>
        <v>Bulk Order</v>
      </c>
    </row>
    <row r="181" ht="15.75" customHeight="1">
      <c r="A181" s="2" t="s">
        <v>548</v>
      </c>
      <c r="B181" s="3">
        <v>45764.0</v>
      </c>
      <c r="C181" s="2" t="s">
        <v>549</v>
      </c>
      <c r="D181" s="2" t="s">
        <v>550</v>
      </c>
      <c r="E181" s="2">
        <v>50.0</v>
      </c>
      <c r="F181" s="2" t="s">
        <v>29</v>
      </c>
      <c r="G181" s="2" t="s">
        <v>396</v>
      </c>
      <c r="H181" s="2" t="s">
        <v>42</v>
      </c>
      <c r="I181" s="2" t="s">
        <v>41</v>
      </c>
      <c r="J181" s="2">
        <v>4.0</v>
      </c>
      <c r="K181" s="4">
        <v>36242.41</v>
      </c>
      <c r="L181" s="5">
        <v>144969.64</v>
      </c>
      <c r="N181" s="2" t="str">
        <f>IF(Table1[Quantity] &gt; 2, "Bulk Order", "Standard Order")</f>
        <v>Bulk Order</v>
      </c>
    </row>
    <row r="182" ht="15.75" customHeight="1">
      <c r="A182" s="2" t="s">
        <v>551</v>
      </c>
      <c r="B182" s="3">
        <v>45772.0</v>
      </c>
      <c r="C182" s="2" t="s">
        <v>552</v>
      </c>
      <c r="D182" s="2" t="s">
        <v>201</v>
      </c>
      <c r="E182" s="2">
        <v>43.0</v>
      </c>
      <c r="F182" s="2" t="s">
        <v>29</v>
      </c>
      <c r="G182" s="2" t="s">
        <v>396</v>
      </c>
      <c r="H182" s="2" t="s">
        <v>64</v>
      </c>
      <c r="I182" s="2" t="s">
        <v>44</v>
      </c>
      <c r="J182" s="2">
        <v>6.0</v>
      </c>
      <c r="K182" s="4">
        <v>36021.08</v>
      </c>
      <c r="L182" s="5">
        <v>216126.48</v>
      </c>
      <c r="N182" s="2" t="str">
        <f>IF(Table1[Quantity] &gt; 2, "Bulk Order", "Standard Order")</f>
        <v>Bulk Order</v>
      </c>
    </row>
    <row r="183" ht="15.75" customHeight="1">
      <c r="A183" s="2" t="s">
        <v>553</v>
      </c>
      <c r="B183" s="3">
        <v>45762.0</v>
      </c>
      <c r="C183" s="2" t="s">
        <v>554</v>
      </c>
      <c r="D183" s="2" t="s">
        <v>555</v>
      </c>
      <c r="E183" s="2">
        <v>30.0</v>
      </c>
      <c r="F183" s="2" t="s">
        <v>37</v>
      </c>
      <c r="G183" s="2" t="s">
        <v>396</v>
      </c>
      <c r="H183" s="2" t="s">
        <v>56</v>
      </c>
      <c r="I183" s="2" t="s">
        <v>43</v>
      </c>
      <c r="J183" s="2">
        <v>9.0</v>
      </c>
      <c r="K183" s="4">
        <v>17074.46</v>
      </c>
      <c r="L183" s="5">
        <v>153670.14</v>
      </c>
      <c r="N183" s="2" t="str">
        <f>IF(Table1[Quantity] &gt; 2, "Bulk Order", "Standard Order")</f>
        <v>Bulk Order</v>
      </c>
    </row>
    <row r="184" ht="15.75" customHeight="1">
      <c r="A184" s="2" t="s">
        <v>556</v>
      </c>
      <c r="B184" s="3">
        <v>45979.0</v>
      </c>
      <c r="C184" s="2" t="s">
        <v>557</v>
      </c>
      <c r="D184" s="2" t="s">
        <v>542</v>
      </c>
      <c r="E184" s="2">
        <v>56.0</v>
      </c>
      <c r="F184" s="2" t="s">
        <v>37</v>
      </c>
      <c r="G184" s="2" t="s">
        <v>396</v>
      </c>
      <c r="H184" s="2" t="s">
        <v>31</v>
      </c>
      <c r="I184" s="2" t="s">
        <v>32</v>
      </c>
      <c r="J184" s="2">
        <v>4.0</v>
      </c>
      <c r="K184" s="4">
        <v>33964.14</v>
      </c>
      <c r="L184" s="5">
        <v>135856.56</v>
      </c>
      <c r="N184" s="2" t="str">
        <f>IF(Table1[Quantity] &gt; 2, "Bulk Order", "Standard Order")</f>
        <v>Bulk Order</v>
      </c>
    </row>
    <row r="185" ht="15.75" customHeight="1">
      <c r="A185" s="2" t="s">
        <v>558</v>
      </c>
      <c r="B185" s="3">
        <v>45737.0</v>
      </c>
      <c r="C185" s="2" t="s">
        <v>559</v>
      </c>
      <c r="D185" s="2" t="s">
        <v>560</v>
      </c>
      <c r="E185" s="2">
        <v>52.0</v>
      </c>
      <c r="F185" s="2" t="s">
        <v>37</v>
      </c>
      <c r="G185" s="2" t="s">
        <v>396</v>
      </c>
      <c r="H185" s="2" t="s">
        <v>42</v>
      </c>
      <c r="I185" s="2" t="s">
        <v>41</v>
      </c>
      <c r="J185" s="2">
        <v>9.0</v>
      </c>
      <c r="K185" s="4">
        <v>21084.4</v>
      </c>
      <c r="L185" s="5">
        <v>189759.6</v>
      </c>
      <c r="N185" s="2" t="str">
        <f>IF(Table1[Quantity] &gt; 2, "Bulk Order", "Standard Order")</f>
        <v>Bulk Order</v>
      </c>
    </row>
    <row r="186" ht="15.75" customHeight="1">
      <c r="A186" s="2" t="s">
        <v>561</v>
      </c>
      <c r="B186" s="3">
        <v>45806.0</v>
      </c>
      <c r="C186" s="2" t="s">
        <v>562</v>
      </c>
      <c r="D186" s="2" t="s">
        <v>563</v>
      </c>
      <c r="E186" s="2">
        <v>47.0</v>
      </c>
      <c r="F186" s="2" t="s">
        <v>37</v>
      </c>
      <c r="G186" s="2" t="s">
        <v>396</v>
      </c>
      <c r="H186" s="2" t="s">
        <v>60</v>
      </c>
      <c r="I186" s="2" t="s">
        <v>43</v>
      </c>
      <c r="J186" s="2">
        <v>3.0</v>
      </c>
      <c r="K186" s="4">
        <v>33382.46</v>
      </c>
      <c r="L186" s="5">
        <v>100147.38</v>
      </c>
      <c r="N186" s="2" t="str">
        <f>IF(Table1[Quantity] &gt; 2, "Bulk Order", "Standard Order")</f>
        <v>Bulk Order</v>
      </c>
    </row>
    <row r="187" ht="15.75" customHeight="1">
      <c r="A187" s="2" t="s">
        <v>564</v>
      </c>
      <c r="B187" s="3">
        <v>45893.0</v>
      </c>
      <c r="C187" s="2" t="s">
        <v>565</v>
      </c>
      <c r="D187" s="2" t="s">
        <v>230</v>
      </c>
      <c r="E187" s="2">
        <v>44.0</v>
      </c>
      <c r="F187" s="2" t="s">
        <v>29</v>
      </c>
      <c r="G187" s="2" t="s">
        <v>396</v>
      </c>
      <c r="H187" s="2" t="s">
        <v>56</v>
      </c>
      <c r="I187" s="2" t="s">
        <v>43</v>
      </c>
      <c r="J187" s="2">
        <v>3.0</v>
      </c>
      <c r="K187" s="4">
        <v>33234.99</v>
      </c>
      <c r="L187" s="5">
        <v>99704.97</v>
      </c>
      <c r="N187" s="2" t="str">
        <f>IF(Table1[Quantity] &gt; 2, "Bulk Order", "Standard Order")</f>
        <v>Bulk Order</v>
      </c>
    </row>
    <row r="188" ht="15.75" customHeight="1">
      <c r="A188" s="2" t="s">
        <v>566</v>
      </c>
      <c r="B188" s="3">
        <v>45998.0</v>
      </c>
      <c r="C188" s="2" t="s">
        <v>567</v>
      </c>
      <c r="D188" s="2" t="s">
        <v>568</v>
      </c>
      <c r="E188" s="2">
        <v>52.0</v>
      </c>
      <c r="F188" s="2" t="s">
        <v>29</v>
      </c>
      <c r="G188" s="2" t="s">
        <v>396</v>
      </c>
      <c r="H188" s="2" t="s">
        <v>42</v>
      </c>
      <c r="I188" s="2" t="s">
        <v>41</v>
      </c>
      <c r="J188" s="2">
        <v>2.0</v>
      </c>
      <c r="K188" s="4">
        <v>13323.8</v>
      </c>
      <c r="L188" s="5">
        <v>26647.6</v>
      </c>
      <c r="N188" s="2" t="str">
        <f>IF(Table1[Quantity] &gt; 2, "Bulk Order", "Standard Order")</f>
        <v>Standard Order</v>
      </c>
    </row>
    <row r="189" ht="15.75" customHeight="1">
      <c r="A189" s="2" t="s">
        <v>569</v>
      </c>
      <c r="B189" s="3">
        <v>45952.0</v>
      </c>
      <c r="C189" s="2" t="s">
        <v>570</v>
      </c>
      <c r="D189" s="2" t="s">
        <v>571</v>
      </c>
      <c r="E189" s="2">
        <v>27.0</v>
      </c>
      <c r="F189" s="2" t="s">
        <v>29</v>
      </c>
      <c r="G189" s="2" t="s">
        <v>396</v>
      </c>
      <c r="H189" s="2" t="s">
        <v>42</v>
      </c>
      <c r="I189" s="2" t="s">
        <v>41</v>
      </c>
      <c r="J189" s="2">
        <v>10.0</v>
      </c>
      <c r="K189" s="4">
        <v>8028.98</v>
      </c>
      <c r="L189" s="5">
        <v>80289.8</v>
      </c>
      <c r="N189" s="2" t="str">
        <f>IF(Table1[Quantity] &gt; 2, "Bulk Order", "Standard Order")</f>
        <v>Bulk Order</v>
      </c>
    </row>
    <row r="190" ht="15.75" customHeight="1">
      <c r="A190" s="2" t="s">
        <v>572</v>
      </c>
      <c r="B190" s="3">
        <v>45700.0</v>
      </c>
      <c r="C190" s="2" t="s">
        <v>573</v>
      </c>
      <c r="D190" s="2" t="s">
        <v>431</v>
      </c>
      <c r="E190" s="2">
        <v>41.0</v>
      </c>
      <c r="F190" s="2" t="s">
        <v>37</v>
      </c>
      <c r="G190" s="2" t="s">
        <v>396</v>
      </c>
      <c r="H190" s="2" t="s">
        <v>56</v>
      </c>
      <c r="I190" s="2" t="s">
        <v>43</v>
      </c>
      <c r="J190" s="2">
        <v>6.0</v>
      </c>
      <c r="K190" s="4">
        <v>42150.74</v>
      </c>
      <c r="L190" s="5">
        <v>252904.44</v>
      </c>
      <c r="N190" s="2" t="str">
        <f>IF(Table1[Quantity] &gt; 2, "Bulk Order", "Standard Order")</f>
        <v>Bulk Order</v>
      </c>
    </row>
    <row r="191" ht="15.75" customHeight="1">
      <c r="A191" s="2" t="s">
        <v>574</v>
      </c>
      <c r="B191" s="3">
        <v>45789.0</v>
      </c>
      <c r="C191" s="2" t="s">
        <v>575</v>
      </c>
      <c r="D191" s="2" t="s">
        <v>576</v>
      </c>
      <c r="E191" s="2">
        <v>37.0</v>
      </c>
      <c r="F191" s="2" t="s">
        <v>29</v>
      </c>
      <c r="G191" s="2" t="s">
        <v>396</v>
      </c>
      <c r="H191" s="2" t="s">
        <v>56</v>
      </c>
      <c r="I191" s="2" t="s">
        <v>43</v>
      </c>
      <c r="J191" s="2">
        <v>1.0</v>
      </c>
      <c r="K191" s="4">
        <v>16249.69</v>
      </c>
      <c r="L191" s="5">
        <v>16249.69</v>
      </c>
      <c r="N191" s="2" t="str">
        <f>IF(Table1[Quantity] &gt; 2, "Bulk Order", "Standard Order")</f>
        <v>Standard Order</v>
      </c>
    </row>
    <row r="192" ht="15.75" customHeight="1">
      <c r="A192" s="2" t="s">
        <v>577</v>
      </c>
      <c r="B192" s="3">
        <v>45920.0</v>
      </c>
      <c r="C192" s="2" t="s">
        <v>578</v>
      </c>
      <c r="D192" s="2" t="s">
        <v>579</v>
      </c>
      <c r="E192" s="2">
        <v>45.0</v>
      </c>
      <c r="F192" s="2" t="s">
        <v>37</v>
      </c>
      <c r="G192" s="2" t="s">
        <v>396</v>
      </c>
      <c r="H192" s="2" t="s">
        <v>42</v>
      </c>
      <c r="I192" s="2" t="s">
        <v>41</v>
      </c>
      <c r="J192" s="2">
        <v>3.0</v>
      </c>
      <c r="K192" s="4">
        <v>48031.9</v>
      </c>
      <c r="L192" s="5">
        <v>144095.7</v>
      </c>
      <c r="N192" s="2" t="str">
        <f>IF(Table1[Quantity] &gt; 2, "Bulk Order", "Standard Order")</f>
        <v>Bulk Order</v>
      </c>
    </row>
    <row r="193" ht="15.75" customHeight="1">
      <c r="A193" s="2" t="s">
        <v>580</v>
      </c>
      <c r="B193" s="3">
        <v>45752.0</v>
      </c>
      <c r="C193" s="2" t="s">
        <v>581</v>
      </c>
      <c r="D193" s="2" t="s">
        <v>187</v>
      </c>
      <c r="E193" s="2">
        <v>22.0</v>
      </c>
      <c r="F193" s="2" t="s">
        <v>29</v>
      </c>
      <c r="G193" s="2" t="s">
        <v>396</v>
      </c>
      <c r="H193" s="2" t="s">
        <v>31</v>
      </c>
      <c r="I193" s="2" t="s">
        <v>32</v>
      </c>
      <c r="J193" s="2">
        <v>5.0</v>
      </c>
      <c r="K193" s="4">
        <v>21466.01</v>
      </c>
      <c r="L193" s="5">
        <v>107330.05</v>
      </c>
      <c r="N193" s="2" t="str">
        <f>IF(Table1[Quantity] &gt; 2, "Bulk Order", "Standard Order")</f>
        <v>Bulk Order</v>
      </c>
    </row>
    <row r="194" ht="15.75" customHeight="1">
      <c r="A194" s="2" t="s">
        <v>582</v>
      </c>
      <c r="B194" s="3">
        <v>45932.0</v>
      </c>
      <c r="C194" s="2" t="s">
        <v>583</v>
      </c>
      <c r="D194" s="2" t="s">
        <v>59</v>
      </c>
      <c r="E194" s="2">
        <v>35.0</v>
      </c>
      <c r="F194" s="2" t="s">
        <v>37</v>
      </c>
      <c r="G194" s="2" t="s">
        <v>396</v>
      </c>
      <c r="H194" s="2" t="s">
        <v>31</v>
      </c>
      <c r="I194" s="2" t="s">
        <v>32</v>
      </c>
      <c r="J194" s="2">
        <v>7.0</v>
      </c>
      <c r="K194" s="4">
        <v>36390.58</v>
      </c>
      <c r="L194" s="5">
        <v>254734.06</v>
      </c>
      <c r="N194" s="2" t="str">
        <f>IF(Table1[Quantity] &gt; 2, "Bulk Order", "Standard Order")</f>
        <v>Bulk Order</v>
      </c>
    </row>
    <row r="195" ht="15.75" customHeight="1">
      <c r="A195" s="2" t="s">
        <v>584</v>
      </c>
      <c r="B195" s="3">
        <v>45786.0</v>
      </c>
      <c r="C195" s="2" t="s">
        <v>338</v>
      </c>
      <c r="D195" s="2" t="s">
        <v>272</v>
      </c>
      <c r="E195" s="2">
        <v>22.0</v>
      </c>
      <c r="F195" s="2" t="s">
        <v>37</v>
      </c>
      <c r="G195" s="2" t="s">
        <v>396</v>
      </c>
      <c r="H195" s="2" t="s">
        <v>56</v>
      </c>
      <c r="I195" s="2" t="s">
        <v>43</v>
      </c>
      <c r="J195" s="2">
        <v>2.0</v>
      </c>
      <c r="K195" s="4">
        <v>17302.3</v>
      </c>
      <c r="L195" s="5">
        <v>34604.6</v>
      </c>
      <c r="N195" s="2" t="str">
        <f>IF(Table1[Quantity] &gt; 2, "Bulk Order", "Standard Order")</f>
        <v>Standard Order</v>
      </c>
    </row>
    <row r="196" ht="15.75" customHeight="1">
      <c r="A196" s="2" t="s">
        <v>585</v>
      </c>
      <c r="B196" s="3">
        <v>45907.0</v>
      </c>
      <c r="C196" s="2" t="s">
        <v>586</v>
      </c>
      <c r="D196" s="2" t="s">
        <v>587</v>
      </c>
      <c r="E196" s="2">
        <v>56.0</v>
      </c>
      <c r="F196" s="2" t="s">
        <v>29</v>
      </c>
      <c r="G196" s="2" t="s">
        <v>396</v>
      </c>
      <c r="H196" s="2" t="s">
        <v>42</v>
      </c>
      <c r="I196" s="2" t="s">
        <v>41</v>
      </c>
      <c r="J196" s="2">
        <v>1.0</v>
      </c>
      <c r="K196" s="4">
        <v>6150.86</v>
      </c>
      <c r="L196" s="5">
        <v>6150.86</v>
      </c>
      <c r="N196" s="2" t="str">
        <f>IF(Table1[Quantity] &gt; 2, "Bulk Order", "Standard Order")</f>
        <v>Standard Order</v>
      </c>
    </row>
    <row r="197" ht="15.75" customHeight="1">
      <c r="A197" s="2" t="s">
        <v>588</v>
      </c>
      <c r="B197" s="3">
        <v>45787.0</v>
      </c>
      <c r="C197" s="2" t="s">
        <v>589</v>
      </c>
      <c r="D197" s="2" t="s">
        <v>590</v>
      </c>
      <c r="E197" s="2">
        <v>48.0</v>
      </c>
      <c r="F197" s="2" t="s">
        <v>29</v>
      </c>
      <c r="G197" s="2" t="s">
        <v>396</v>
      </c>
      <c r="H197" s="2" t="s">
        <v>31</v>
      </c>
      <c r="I197" s="2" t="s">
        <v>32</v>
      </c>
      <c r="J197" s="2">
        <v>9.0</v>
      </c>
      <c r="K197" s="4">
        <v>11122.7</v>
      </c>
      <c r="L197" s="5">
        <v>100104.3</v>
      </c>
      <c r="N197" s="2" t="str">
        <f>IF(Table1[Quantity] &gt; 2, "Bulk Order", "Standard Order")</f>
        <v>Bulk Order</v>
      </c>
    </row>
    <row r="198" ht="15.75" customHeight="1">
      <c r="A198" s="2" t="s">
        <v>591</v>
      </c>
      <c r="B198" s="3">
        <v>45766.0</v>
      </c>
      <c r="C198" s="2" t="s">
        <v>592</v>
      </c>
      <c r="D198" s="2" t="s">
        <v>593</v>
      </c>
      <c r="E198" s="2">
        <v>38.0</v>
      </c>
      <c r="F198" s="2" t="s">
        <v>37</v>
      </c>
      <c r="G198" s="2" t="s">
        <v>396</v>
      </c>
      <c r="H198" s="2" t="s">
        <v>74</v>
      </c>
      <c r="I198" s="2" t="s">
        <v>45</v>
      </c>
      <c r="J198" s="2">
        <v>5.0</v>
      </c>
      <c r="K198" s="4">
        <v>37214.58</v>
      </c>
      <c r="L198" s="5">
        <v>186072.9</v>
      </c>
      <c r="N198" s="2" t="str">
        <f>IF(Table1[Quantity] &gt; 2, "Bulk Order", "Standard Order")</f>
        <v>Bulk Order</v>
      </c>
    </row>
    <row r="199" ht="15.75" customHeight="1">
      <c r="A199" s="2" t="s">
        <v>594</v>
      </c>
      <c r="B199" s="3">
        <v>45723.0</v>
      </c>
      <c r="C199" s="2" t="s">
        <v>595</v>
      </c>
      <c r="D199" s="2" t="s">
        <v>121</v>
      </c>
      <c r="E199" s="2">
        <v>59.0</v>
      </c>
      <c r="F199" s="2" t="s">
        <v>37</v>
      </c>
      <c r="G199" s="2" t="s">
        <v>396</v>
      </c>
      <c r="H199" s="2" t="s">
        <v>56</v>
      </c>
      <c r="I199" s="2" t="s">
        <v>43</v>
      </c>
      <c r="J199" s="2">
        <v>3.0</v>
      </c>
      <c r="K199" s="4">
        <v>43567.37</v>
      </c>
      <c r="L199" s="5">
        <v>130702.11</v>
      </c>
      <c r="N199" s="2" t="str">
        <f>IF(Table1[Quantity] &gt; 2, "Bulk Order", "Standard Order")</f>
        <v>Bulk Order</v>
      </c>
    </row>
    <row r="200" ht="15.75" customHeight="1">
      <c r="A200" s="2" t="s">
        <v>596</v>
      </c>
      <c r="B200" s="3">
        <v>45835.0</v>
      </c>
      <c r="C200" s="2" t="s">
        <v>597</v>
      </c>
      <c r="D200" s="2" t="s">
        <v>475</v>
      </c>
      <c r="E200" s="2">
        <v>61.0</v>
      </c>
      <c r="F200" s="2" t="s">
        <v>37</v>
      </c>
      <c r="G200" s="2" t="s">
        <v>396</v>
      </c>
      <c r="H200" s="2" t="s">
        <v>42</v>
      </c>
      <c r="I200" s="2" t="s">
        <v>41</v>
      </c>
      <c r="J200" s="2">
        <v>2.0</v>
      </c>
      <c r="K200" s="4">
        <v>14656.73</v>
      </c>
      <c r="L200" s="5">
        <v>29313.46</v>
      </c>
      <c r="N200" s="2" t="str">
        <f>IF(Table1[Quantity] &gt; 2, "Bulk Order", "Standard Order")</f>
        <v>Standard Order</v>
      </c>
    </row>
    <row r="201" ht="15.75" customHeight="1">
      <c r="A201" s="2" t="s">
        <v>598</v>
      </c>
      <c r="B201" s="3">
        <v>45942.0</v>
      </c>
      <c r="C201" s="2" t="s">
        <v>206</v>
      </c>
      <c r="D201" s="2" t="s">
        <v>599</v>
      </c>
      <c r="E201" s="2">
        <v>30.0</v>
      </c>
      <c r="F201" s="2" t="s">
        <v>29</v>
      </c>
      <c r="G201" s="2" t="s">
        <v>396</v>
      </c>
      <c r="H201" s="2" t="s">
        <v>31</v>
      </c>
      <c r="I201" s="2" t="s">
        <v>32</v>
      </c>
      <c r="J201" s="2">
        <v>1.0</v>
      </c>
      <c r="K201" s="4">
        <v>15515.24</v>
      </c>
      <c r="L201" s="5">
        <v>15515.24</v>
      </c>
      <c r="N201" s="2" t="str">
        <f>IF(Table1[Quantity] &gt; 2, "Bulk Order", "Standard Order")</f>
        <v>Standard Order</v>
      </c>
    </row>
    <row r="202" ht="15.75" customHeight="1">
      <c r="A202" s="2" t="s">
        <v>600</v>
      </c>
      <c r="B202" s="3">
        <v>45873.0</v>
      </c>
      <c r="C202" s="2" t="s">
        <v>601</v>
      </c>
      <c r="D202" s="2" t="s">
        <v>602</v>
      </c>
      <c r="E202" s="2">
        <v>55.0</v>
      </c>
      <c r="F202" s="2" t="s">
        <v>29</v>
      </c>
      <c r="G202" s="2" t="s">
        <v>396</v>
      </c>
      <c r="H202" s="2" t="s">
        <v>64</v>
      </c>
      <c r="I202" s="2" t="s">
        <v>44</v>
      </c>
      <c r="J202" s="2">
        <v>10.0</v>
      </c>
      <c r="K202" s="4">
        <v>20857.23</v>
      </c>
      <c r="L202" s="5">
        <v>208572.3</v>
      </c>
      <c r="N202" s="2" t="str">
        <f>IF(Table1[Quantity] &gt; 2, "Bulk Order", "Standard Order")</f>
        <v>Bulk Order</v>
      </c>
    </row>
    <row r="203" ht="15.75" customHeight="1">
      <c r="A203" s="2" t="s">
        <v>603</v>
      </c>
      <c r="B203" s="3">
        <v>46012.0</v>
      </c>
      <c r="C203" s="2" t="s">
        <v>604</v>
      </c>
      <c r="D203" s="2" t="s">
        <v>605</v>
      </c>
      <c r="E203" s="2">
        <v>37.0</v>
      </c>
      <c r="F203" s="2" t="s">
        <v>29</v>
      </c>
      <c r="G203" s="2" t="s">
        <v>396</v>
      </c>
      <c r="H203" s="2" t="s">
        <v>60</v>
      </c>
      <c r="I203" s="2" t="s">
        <v>43</v>
      </c>
      <c r="J203" s="2">
        <v>7.0</v>
      </c>
      <c r="K203" s="4">
        <v>5129.02</v>
      </c>
      <c r="L203" s="5">
        <v>35903.14</v>
      </c>
      <c r="N203" s="2" t="str">
        <f>IF(Table1[Quantity] &gt; 2, "Bulk Order", "Standard Order")</f>
        <v>Bulk Order</v>
      </c>
    </row>
    <row r="204" ht="15.75" customHeight="1">
      <c r="A204" s="2" t="s">
        <v>606</v>
      </c>
      <c r="B204" s="3">
        <v>45783.0</v>
      </c>
      <c r="C204" s="2" t="s">
        <v>607</v>
      </c>
      <c r="D204" s="2" t="s">
        <v>235</v>
      </c>
      <c r="E204" s="2">
        <v>39.0</v>
      </c>
      <c r="F204" s="2" t="s">
        <v>29</v>
      </c>
      <c r="G204" s="2" t="s">
        <v>396</v>
      </c>
      <c r="H204" s="2" t="s">
        <v>42</v>
      </c>
      <c r="I204" s="2" t="s">
        <v>41</v>
      </c>
      <c r="J204" s="2">
        <v>4.0</v>
      </c>
      <c r="K204" s="4">
        <v>5518.35</v>
      </c>
      <c r="L204" s="5">
        <v>22073.4</v>
      </c>
      <c r="N204" s="2" t="str">
        <f>IF(Table1[Quantity] &gt; 2, "Bulk Order", "Standard Order")</f>
        <v>Bulk Order</v>
      </c>
    </row>
    <row r="205" ht="15.75" customHeight="1">
      <c r="A205" s="2" t="s">
        <v>608</v>
      </c>
      <c r="B205" s="3">
        <v>45742.0</v>
      </c>
      <c r="C205" s="2" t="s">
        <v>609</v>
      </c>
      <c r="D205" s="2" t="s">
        <v>405</v>
      </c>
      <c r="E205" s="2">
        <v>31.0</v>
      </c>
      <c r="F205" s="2" t="s">
        <v>29</v>
      </c>
      <c r="G205" s="2" t="s">
        <v>396</v>
      </c>
      <c r="H205" s="2" t="s">
        <v>42</v>
      </c>
      <c r="I205" s="2" t="s">
        <v>41</v>
      </c>
      <c r="J205" s="2">
        <v>9.0</v>
      </c>
      <c r="K205" s="4">
        <v>39988.02</v>
      </c>
      <c r="L205" s="5">
        <v>359892.18</v>
      </c>
      <c r="N205" s="2" t="str">
        <f>IF(Table1[Quantity] &gt; 2, "Bulk Order", "Standard Order")</f>
        <v>Bulk Order</v>
      </c>
    </row>
    <row r="206" ht="15.75" customHeight="1">
      <c r="A206" s="2" t="s">
        <v>610</v>
      </c>
      <c r="B206" s="3">
        <v>45821.0</v>
      </c>
      <c r="C206" s="2" t="s">
        <v>611</v>
      </c>
      <c r="D206" s="2" t="s">
        <v>612</v>
      </c>
      <c r="E206" s="2">
        <v>38.0</v>
      </c>
      <c r="F206" s="2" t="s">
        <v>37</v>
      </c>
      <c r="G206" s="2" t="s">
        <v>396</v>
      </c>
      <c r="H206" s="2" t="s">
        <v>64</v>
      </c>
      <c r="I206" s="2" t="s">
        <v>44</v>
      </c>
      <c r="J206" s="2">
        <v>1.0</v>
      </c>
      <c r="K206" s="4">
        <v>33193.9</v>
      </c>
      <c r="L206" s="5">
        <v>33193.9</v>
      </c>
      <c r="N206" s="2" t="str">
        <f>IF(Table1[Quantity] &gt; 2, "Bulk Order", "Standard Order")</f>
        <v>Standard Order</v>
      </c>
    </row>
    <row r="207" ht="15.75" customHeight="1">
      <c r="A207" s="2" t="s">
        <v>613</v>
      </c>
      <c r="B207" s="3">
        <v>45822.0</v>
      </c>
      <c r="C207" s="2" t="s">
        <v>614</v>
      </c>
      <c r="D207" s="2" t="s">
        <v>615</v>
      </c>
      <c r="E207" s="2">
        <v>32.0</v>
      </c>
      <c r="F207" s="2" t="s">
        <v>29</v>
      </c>
      <c r="G207" s="2" t="s">
        <v>396</v>
      </c>
      <c r="H207" s="2" t="s">
        <v>42</v>
      </c>
      <c r="I207" s="2" t="s">
        <v>41</v>
      </c>
      <c r="J207" s="2">
        <v>1.0</v>
      </c>
      <c r="K207" s="4">
        <v>34302.92</v>
      </c>
      <c r="L207" s="5">
        <v>34302.92</v>
      </c>
      <c r="N207" s="2" t="str">
        <f>IF(Table1[Quantity] &gt; 2, "Bulk Order", "Standard Order")</f>
        <v>Standard Order</v>
      </c>
    </row>
    <row r="208" ht="15.75" customHeight="1">
      <c r="A208" s="2" t="s">
        <v>616</v>
      </c>
      <c r="B208" s="3">
        <v>45898.0</v>
      </c>
      <c r="C208" s="2" t="s">
        <v>617</v>
      </c>
      <c r="D208" s="2" t="s">
        <v>618</v>
      </c>
      <c r="E208" s="2">
        <v>42.0</v>
      </c>
      <c r="F208" s="2" t="s">
        <v>29</v>
      </c>
      <c r="G208" s="2" t="s">
        <v>396</v>
      </c>
      <c r="H208" s="2" t="s">
        <v>64</v>
      </c>
      <c r="I208" s="2" t="s">
        <v>44</v>
      </c>
      <c r="J208" s="2">
        <v>5.0</v>
      </c>
      <c r="K208" s="4">
        <v>16279.37</v>
      </c>
      <c r="L208" s="5">
        <v>81396.85</v>
      </c>
      <c r="N208" s="2" t="str">
        <f>IF(Table1[Quantity] &gt; 2, "Bulk Order", "Standard Order")</f>
        <v>Bulk Order</v>
      </c>
    </row>
    <row r="209" ht="15.75" customHeight="1">
      <c r="A209" s="2" t="s">
        <v>619</v>
      </c>
      <c r="B209" s="3">
        <v>45663.0</v>
      </c>
      <c r="C209" s="2" t="s">
        <v>620</v>
      </c>
      <c r="D209" s="2" t="s">
        <v>621</v>
      </c>
      <c r="E209" s="2">
        <v>53.0</v>
      </c>
      <c r="F209" s="2" t="s">
        <v>29</v>
      </c>
      <c r="G209" s="2" t="s">
        <v>396</v>
      </c>
      <c r="H209" s="2" t="s">
        <v>31</v>
      </c>
      <c r="I209" s="2" t="s">
        <v>32</v>
      </c>
      <c r="J209" s="2">
        <v>10.0</v>
      </c>
      <c r="K209" s="4">
        <v>22106.78</v>
      </c>
      <c r="L209" s="5">
        <v>221067.8</v>
      </c>
      <c r="N209" s="2" t="str">
        <f>IF(Table1[Quantity] &gt; 2, "Bulk Order", "Standard Order")</f>
        <v>Bulk Order</v>
      </c>
    </row>
    <row r="210" ht="15.75" customHeight="1">
      <c r="A210" s="2" t="s">
        <v>622</v>
      </c>
      <c r="B210" s="3">
        <v>45992.0</v>
      </c>
      <c r="C210" s="2" t="s">
        <v>623</v>
      </c>
      <c r="D210" s="2" t="s">
        <v>624</v>
      </c>
      <c r="E210" s="2">
        <v>54.0</v>
      </c>
      <c r="F210" s="2" t="s">
        <v>37</v>
      </c>
      <c r="G210" s="2" t="s">
        <v>396</v>
      </c>
      <c r="H210" s="2" t="s">
        <v>60</v>
      </c>
      <c r="I210" s="2" t="s">
        <v>43</v>
      </c>
      <c r="J210" s="2">
        <v>10.0</v>
      </c>
      <c r="K210" s="4">
        <v>10307.48</v>
      </c>
      <c r="L210" s="5">
        <v>103074.8</v>
      </c>
      <c r="N210" s="2" t="str">
        <f>IF(Table1[Quantity] &gt; 2, "Bulk Order", "Standard Order")</f>
        <v>Bulk Order</v>
      </c>
    </row>
    <row r="211" ht="15.75" customHeight="1">
      <c r="A211" s="2" t="s">
        <v>625</v>
      </c>
      <c r="B211" s="3">
        <v>45854.0</v>
      </c>
      <c r="C211" s="2" t="s">
        <v>626</v>
      </c>
      <c r="D211" s="2" t="s">
        <v>627</v>
      </c>
      <c r="E211" s="2">
        <v>60.0</v>
      </c>
      <c r="F211" s="2" t="s">
        <v>37</v>
      </c>
      <c r="G211" s="2" t="s">
        <v>396</v>
      </c>
      <c r="H211" s="2" t="s">
        <v>64</v>
      </c>
      <c r="I211" s="2" t="s">
        <v>44</v>
      </c>
      <c r="J211" s="2">
        <v>5.0</v>
      </c>
      <c r="K211" s="4">
        <v>28065.77</v>
      </c>
      <c r="L211" s="5">
        <v>140328.85</v>
      </c>
      <c r="N211" s="2" t="str">
        <f>IF(Table1[Quantity] &gt; 2, "Bulk Order", "Standard Order")</f>
        <v>Bulk Order</v>
      </c>
    </row>
    <row r="212" ht="15.75" customHeight="1">
      <c r="A212" s="2" t="s">
        <v>628</v>
      </c>
      <c r="B212" s="3">
        <v>45803.0</v>
      </c>
      <c r="C212" s="2" t="s">
        <v>629</v>
      </c>
      <c r="D212" s="2" t="s">
        <v>630</v>
      </c>
      <c r="E212" s="2">
        <v>57.0</v>
      </c>
      <c r="F212" s="2" t="s">
        <v>37</v>
      </c>
      <c r="G212" s="2" t="s">
        <v>396</v>
      </c>
      <c r="H212" s="2" t="s">
        <v>74</v>
      </c>
      <c r="I212" s="2" t="s">
        <v>45</v>
      </c>
      <c r="J212" s="2">
        <v>2.0</v>
      </c>
      <c r="K212" s="4">
        <v>31615.64</v>
      </c>
      <c r="L212" s="5">
        <v>63231.28</v>
      </c>
      <c r="N212" s="2" t="str">
        <f>IF(Table1[Quantity] &gt; 2, "Bulk Order", "Standard Order")</f>
        <v>Standard Order</v>
      </c>
    </row>
    <row r="213" ht="15.75" customHeight="1">
      <c r="A213" s="2" t="s">
        <v>631</v>
      </c>
      <c r="B213" s="3">
        <v>45720.0</v>
      </c>
      <c r="C213" s="2" t="s">
        <v>632</v>
      </c>
      <c r="D213" s="2" t="s">
        <v>325</v>
      </c>
      <c r="E213" s="2">
        <v>54.0</v>
      </c>
      <c r="F213" s="2" t="s">
        <v>29</v>
      </c>
      <c r="G213" s="2" t="s">
        <v>396</v>
      </c>
      <c r="H213" s="2" t="s">
        <v>42</v>
      </c>
      <c r="I213" s="2" t="s">
        <v>41</v>
      </c>
      <c r="J213" s="2">
        <v>4.0</v>
      </c>
      <c r="K213" s="4">
        <v>31076.31</v>
      </c>
      <c r="L213" s="5">
        <v>124305.24</v>
      </c>
      <c r="N213" s="2" t="str">
        <f>IF(Table1[Quantity] &gt; 2, "Bulk Order", "Standard Order")</f>
        <v>Bulk Order</v>
      </c>
    </row>
    <row r="214" ht="15.75" customHeight="1">
      <c r="A214" s="2" t="s">
        <v>633</v>
      </c>
      <c r="B214" s="3">
        <v>45782.0</v>
      </c>
      <c r="C214" s="2" t="s">
        <v>634</v>
      </c>
      <c r="D214" s="2" t="s">
        <v>635</v>
      </c>
      <c r="E214" s="2">
        <v>43.0</v>
      </c>
      <c r="F214" s="2" t="s">
        <v>29</v>
      </c>
      <c r="G214" s="2" t="s">
        <v>396</v>
      </c>
      <c r="H214" s="2" t="s">
        <v>74</v>
      </c>
      <c r="I214" s="2" t="s">
        <v>45</v>
      </c>
      <c r="J214" s="2">
        <v>3.0</v>
      </c>
      <c r="K214" s="4">
        <v>23252.08</v>
      </c>
      <c r="L214" s="5">
        <v>69756.24</v>
      </c>
      <c r="N214" s="2" t="str">
        <f>IF(Table1[Quantity] &gt; 2, "Bulk Order", "Standard Order")</f>
        <v>Bulk Order</v>
      </c>
    </row>
    <row r="215" ht="15.75" customHeight="1">
      <c r="A215" s="2" t="s">
        <v>636</v>
      </c>
      <c r="B215" s="3">
        <v>45882.0</v>
      </c>
      <c r="C215" s="2" t="s">
        <v>637</v>
      </c>
      <c r="D215" s="2" t="s">
        <v>638</v>
      </c>
      <c r="E215" s="2">
        <v>28.0</v>
      </c>
      <c r="F215" s="2" t="s">
        <v>37</v>
      </c>
      <c r="G215" s="2" t="s">
        <v>396</v>
      </c>
      <c r="H215" s="2" t="s">
        <v>31</v>
      </c>
      <c r="I215" s="2" t="s">
        <v>32</v>
      </c>
      <c r="J215" s="2">
        <v>7.0</v>
      </c>
      <c r="K215" s="4">
        <v>31567.62</v>
      </c>
      <c r="L215" s="5">
        <v>220973.34</v>
      </c>
      <c r="N215" s="2" t="str">
        <f>IF(Table1[Quantity] &gt; 2, "Bulk Order", "Standard Order")</f>
        <v>Bulk Order</v>
      </c>
    </row>
    <row r="216" ht="15.75" customHeight="1">
      <c r="A216" s="2" t="s">
        <v>639</v>
      </c>
      <c r="B216" s="3">
        <v>45989.0</v>
      </c>
      <c r="C216" s="2" t="s">
        <v>640</v>
      </c>
      <c r="D216" s="2" t="s">
        <v>641</v>
      </c>
      <c r="E216" s="2">
        <v>58.0</v>
      </c>
      <c r="F216" s="2" t="s">
        <v>29</v>
      </c>
      <c r="G216" s="2" t="s">
        <v>396</v>
      </c>
      <c r="H216" s="2" t="s">
        <v>60</v>
      </c>
      <c r="I216" s="2" t="s">
        <v>43</v>
      </c>
      <c r="J216" s="2">
        <v>10.0</v>
      </c>
      <c r="K216" s="4">
        <v>44401.64</v>
      </c>
      <c r="L216" s="5">
        <v>444016.4</v>
      </c>
      <c r="N216" s="2" t="str">
        <f>IF(Table1[Quantity] &gt; 2, "Bulk Order", "Standard Order")</f>
        <v>Bulk Order</v>
      </c>
    </row>
    <row r="217" ht="15.75" customHeight="1">
      <c r="A217" s="2" t="s">
        <v>642</v>
      </c>
      <c r="B217" s="3">
        <v>45685.0</v>
      </c>
      <c r="C217" s="2" t="s">
        <v>643</v>
      </c>
      <c r="D217" s="2" t="s">
        <v>283</v>
      </c>
      <c r="E217" s="2">
        <v>47.0</v>
      </c>
      <c r="F217" s="2" t="s">
        <v>37</v>
      </c>
      <c r="G217" s="2" t="s">
        <v>396</v>
      </c>
      <c r="H217" s="2" t="s">
        <v>31</v>
      </c>
      <c r="I217" s="2" t="s">
        <v>32</v>
      </c>
      <c r="J217" s="2">
        <v>2.0</v>
      </c>
      <c r="K217" s="4">
        <v>5467.01</v>
      </c>
      <c r="L217" s="5">
        <v>10934.02</v>
      </c>
      <c r="N217" s="2" t="str">
        <f>IF(Table1[Quantity] &gt; 2, "Bulk Order", "Standard Order")</f>
        <v>Standard Order</v>
      </c>
    </row>
    <row r="218" ht="15.75" customHeight="1">
      <c r="A218" s="2" t="s">
        <v>644</v>
      </c>
      <c r="B218" s="3">
        <v>45851.0</v>
      </c>
      <c r="C218" s="2" t="s">
        <v>645</v>
      </c>
      <c r="D218" s="2" t="s">
        <v>286</v>
      </c>
      <c r="E218" s="2">
        <v>49.0</v>
      </c>
      <c r="F218" s="2" t="s">
        <v>37</v>
      </c>
      <c r="G218" s="2" t="s">
        <v>396</v>
      </c>
      <c r="H218" s="2" t="s">
        <v>60</v>
      </c>
      <c r="I218" s="2" t="s">
        <v>43</v>
      </c>
      <c r="J218" s="2">
        <v>4.0</v>
      </c>
      <c r="K218" s="4">
        <v>21098.23</v>
      </c>
      <c r="L218" s="5">
        <v>84392.92</v>
      </c>
      <c r="N218" s="2" t="str">
        <f>IF(Table1[Quantity] &gt; 2, "Bulk Order", "Standard Order")</f>
        <v>Bulk Order</v>
      </c>
    </row>
    <row r="219" ht="15.75" customHeight="1">
      <c r="A219" s="2" t="s">
        <v>646</v>
      </c>
      <c r="B219" s="3">
        <v>45980.0</v>
      </c>
      <c r="C219" s="2" t="s">
        <v>647</v>
      </c>
      <c r="D219" s="2" t="s">
        <v>648</v>
      </c>
      <c r="E219" s="2">
        <v>60.0</v>
      </c>
      <c r="F219" s="2" t="s">
        <v>29</v>
      </c>
      <c r="G219" s="2" t="s">
        <v>396</v>
      </c>
      <c r="H219" s="2" t="s">
        <v>42</v>
      </c>
      <c r="I219" s="2" t="s">
        <v>41</v>
      </c>
      <c r="J219" s="2">
        <v>10.0</v>
      </c>
      <c r="K219" s="4">
        <v>24270.17</v>
      </c>
      <c r="L219" s="5">
        <v>242701.7</v>
      </c>
      <c r="N219" s="2" t="str">
        <f>IF(Table1[Quantity] &gt; 2, "Bulk Order", "Standard Order")</f>
        <v>Bulk Order</v>
      </c>
    </row>
    <row r="220" ht="15.75" customHeight="1">
      <c r="A220" s="2" t="s">
        <v>649</v>
      </c>
      <c r="B220" s="3">
        <v>45932.0</v>
      </c>
      <c r="C220" s="2" t="s">
        <v>650</v>
      </c>
      <c r="D220" s="2" t="s">
        <v>48</v>
      </c>
      <c r="E220" s="2">
        <v>59.0</v>
      </c>
      <c r="F220" s="2" t="s">
        <v>37</v>
      </c>
      <c r="G220" s="2" t="s">
        <v>396</v>
      </c>
      <c r="H220" s="2" t="s">
        <v>60</v>
      </c>
      <c r="I220" s="2" t="s">
        <v>43</v>
      </c>
      <c r="J220" s="2">
        <v>2.0</v>
      </c>
      <c r="K220" s="4">
        <v>14931.2</v>
      </c>
      <c r="L220" s="5">
        <v>29862.4</v>
      </c>
      <c r="N220" s="2" t="str">
        <f>IF(Table1[Quantity] &gt; 2, "Bulk Order", "Standard Order")</f>
        <v>Standard Order</v>
      </c>
    </row>
    <row r="221" ht="15.75" customHeight="1">
      <c r="A221" s="2" t="s">
        <v>651</v>
      </c>
      <c r="B221" s="3">
        <v>45961.0</v>
      </c>
      <c r="C221" s="2" t="s">
        <v>652</v>
      </c>
      <c r="D221" s="2" t="s">
        <v>653</v>
      </c>
      <c r="E221" s="2">
        <v>29.0</v>
      </c>
      <c r="F221" s="2" t="s">
        <v>29</v>
      </c>
      <c r="G221" s="2" t="s">
        <v>396</v>
      </c>
      <c r="H221" s="2" t="s">
        <v>64</v>
      </c>
      <c r="I221" s="2" t="s">
        <v>44</v>
      </c>
      <c r="J221" s="2">
        <v>1.0</v>
      </c>
      <c r="K221" s="4">
        <v>12121.61</v>
      </c>
      <c r="L221" s="5">
        <v>12121.61</v>
      </c>
      <c r="N221" s="2" t="str">
        <f>IF(Table1[Quantity] &gt; 2, "Bulk Order", "Standard Order")</f>
        <v>Standard Order</v>
      </c>
    </row>
    <row r="222" ht="15.75" customHeight="1">
      <c r="A222" s="2" t="s">
        <v>654</v>
      </c>
      <c r="B222" s="3">
        <v>46002.0</v>
      </c>
      <c r="C222" s="2" t="s">
        <v>655</v>
      </c>
      <c r="D222" s="2" t="s">
        <v>151</v>
      </c>
      <c r="E222" s="2">
        <v>32.0</v>
      </c>
      <c r="F222" s="2" t="s">
        <v>29</v>
      </c>
      <c r="G222" s="2" t="s">
        <v>396</v>
      </c>
      <c r="H222" s="2" t="s">
        <v>42</v>
      </c>
      <c r="I222" s="2" t="s">
        <v>41</v>
      </c>
      <c r="J222" s="2">
        <v>6.0</v>
      </c>
      <c r="K222" s="4">
        <v>17079.99</v>
      </c>
      <c r="L222" s="5">
        <v>102479.94</v>
      </c>
      <c r="N222" s="2" t="str">
        <f>IF(Table1[Quantity] &gt; 2, "Bulk Order", "Standard Order")</f>
        <v>Bulk Order</v>
      </c>
    </row>
    <row r="223" ht="15.75" customHeight="1">
      <c r="A223" s="2" t="s">
        <v>656</v>
      </c>
      <c r="B223" s="3">
        <v>45908.0</v>
      </c>
      <c r="C223" s="2" t="s">
        <v>657</v>
      </c>
      <c r="D223" s="2" t="s">
        <v>658</v>
      </c>
      <c r="E223" s="2">
        <v>52.0</v>
      </c>
      <c r="F223" s="2" t="s">
        <v>37</v>
      </c>
      <c r="G223" s="2" t="s">
        <v>396</v>
      </c>
      <c r="H223" s="2" t="s">
        <v>56</v>
      </c>
      <c r="I223" s="2" t="s">
        <v>43</v>
      </c>
      <c r="J223" s="2">
        <v>1.0</v>
      </c>
      <c r="K223" s="4">
        <v>26771.99</v>
      </c>
      <c r="L223" s="5">
        <v>26771.99</v>
      </c>
      <c r="N223" s="2" t="str">
        <f>IF(Table1[Quantity] &gt; 2, "Bulk Order", "Standard Order")</f>
        <v>Standard Order</v>
      </c>
    </row>
    <row r="224" ht="15.75" customHeight="1">
      <c r="A224" s="2" t="s">
        <v>659</v>
      </c>
      <c r="B224" s="3">
        <v>45715.0</v>
      </c>
      <c r="C224" s="2" t="s">
        <v>660</v>
      </c>
      <c r="D224" s="2" t="s">
        <v>661</v>
      </c>
      <c r="E224" s="2">
        <v>44.0</v>
      </c>
      <c r="F224" s="2" t="s">
        <v>37</v>
      </c>
      <c r="G224" s="2" t="s">
        <v>396</v>
      </c>
      <c r="H224" s="2" t="s">
        <v>31</v>
      </c>
      <c r="I224" s="2" t="s">
        <v>32</v>
      </c>
      <c r="J224" s="2">
        <v>2.0</v>
      </c>
      <c r="K224" s="4">
        <v>49685.64</v>
      </c>
      <c r="L224" s="5">
        <v>99371.28</v>
      </c>
      <c r="N224" s="2" t="str">
        <f>IF(Table1[Quantity] &gt; 2, "Bulk Order", "Standard Order")</f>
        <v>Standard Order</v>
      </c>
    </row>
    <row r="225" ht="15.75" customHeight="1">
      <c r="A225" s="2" t="s">
        <v>662</v>
      </c>
      <c r="B225" s="3">
        <v>45967.0</v>
      </c>
      <c r="C225" s="2" t="s">
        <v>663</v>
      </c>
      <c r="D225" s="2" t="s">
        <v>266</v>
      </c>
      <c r="E225" s="2">
        <v>43.0</v>
      </c>
      <c r="F225" s="2" t="s">
        <v>29</v>
      </c>
      <c r="G225" s="2" t="s">
        <v>396</v>
      </c>
      <c r="H225" s="2" t="s">
        <v>42</v>
      </c>
      <c r="I225" s="2" t="s">
        <v>41</v>
      </c>
      <c r="J225" s="2">
        <v>3.0</v>
      </c>
      <c r="K225" s="4">
        <v>22843.06</v>
      </c>
      <c r="L225" s="5">
        <v>68529.18</v>
      </c>
      <c r="N225" s="2" t="str">
        <f>IF(Table1[Quantity] &gt; 2, "Bulk Order", "Standard Order")</f>
        <v>Bulk Order</v>
      </c>
    </row>
    <row r="226" ht="15.75" customHeight="1">
      <c r="A226" s="2" t="s">
        <v>664</v>
      </c>
      <c r="B226" s="3">
        <v>45733.0</v>
      </c>
      <c r="C226" s="2" t="s">
        <v>665</v>
      </c>
      <c r="D226" s="2" t="s">
        <v>666</v>
      </c>
      <c r="E226" s="2">
        <v>23.0</v>
      </c>
      <c r="F226" s="2" t="s">
        <v>37</v>
      </c>
      <c r="G226" s="2" t="s">
        <v>396</v>
      </c>
      <c r="H226" s="2" t="s">
        <v>31</v>
      </c>
      <c r="I226" s="2" t="s">
        <v>32</v>
      </c>
      <c r="J226" s="2">
        <v>10.0</v>
      </c>
      <c r="K226" s="4">
        <v>5580.23</v>
      </c>
      <c r="L226" s="5">
        <v>55802.3</v>
      </c>
      <c r="N226" s="2" t="str">
        <f>IF(Table1[Quantity] &gt; 2, "Bulk Order", "Standard Order")</f>
        <v>Bulk Order</v>
      </c>
    </row>
    <row r="227" ht="15.75" customHeight="1">
      <c r="A227" s="2" t="s">
        <v>667</v>
      </c>
      <c r="B227" s="3">
        <v>46011.0</v>
      </c>
      <c r="C227" s="2" t="s">
        <v>668</v>
      </c>
      <c r="D227" s="2" t="s">
        <v>669</v>
      </c>
      <c r="E227" s="2">
        <v>38.0</v>
      </c>
      <c r="F227" s="2" t="s">
        <v>29</v>
      </c>
      <c r="G227" s="2" t="s">
        <v>396</v>
      </c>
      <c r="H227" s="2" t="s">
        <v>31</v>
      </c>
      <c r="I227" s="2" t="s">
        <v>32</v>
      </c>
      <c r="J227" s="2">
        <v>8.0</v>
      </c>
      <c r="K227" s="4">
        <v>7543.31</v>
      </c>
      <c r="L227" s="5">
        <v>60346.48</v>
      </c>
      <c r="N227" s="2" t="str">
        <f>IF(Table1[Quantity] &gt; 2, "Bulk Order", "Standard Order")</f>
        <v>Bulk Order</v>
      </c>
    </row>
    <row r="228" ht="15.75" customHeight="1">
      <c r="A228" s="2" t="s">
        <v>670</v>
      </c>
      <c r="B228" s="3">
        <v>45787.0</v>
      </c>
      <c r="C228" s="2" t="s">
        <v>671</v>
      </c>
      <c r="D228" s="2" t="s">
        <v>121</v>
      </c>
      <c r="E228" s="2">
        <v>63.0</v>
      </c>
      <c r="F228" s="2" t="s">
        <v>29</v>
      </c>
      <c r="G228" s="2" t="s">
        <v>396</v>
      </c>
      <c r="H228" s="2" t="s">
        <v>74</v>
      </c>
      <c r="I228" s="2" t="s">
        <v>45</v>
      </c>
      <c r="J228" s="2">
        <v>9.0</v>
      </c>
      <c r="K228" s="4">
        <v>48313.36</v>
      </c>
      <c r="L228" s="5">
        <v>434820.24</v>
      </c>
      <c r="N228" s="2" t="str">
        <f>IF(Table1[Quantity] &gt; 2, "Bulk Order", "Standard Order")</f>
        <v>Bulk Order</v>
      </c>
    </row>
    <row r="229" ht="15.75" customHeight="1">
      <c r="A229" s="2" t="s">
        <v>672</v>
      </c>
      <c r="B229" s="3">
        <v>46012.0</v>
      </c>
      <c r="C229" s="2" t="s">
        <v>673</v>
      </c>
      <c r="D229" s="2" t="s">
        <v>674</v>
      </c>
      <c r="E229" s="2">
        <v>64.0</v>
      </c>
      <c r="F229" s="2" t="s">
        <v>37</v>
      </c>
      <c r="G229" s="2" t="s">
        <v>396</v>
      </c>
      <c r="H229" s="2" t="s">
        <v>42</v>
      </c>
      <c r="I229" s="2" t="s">
        <v>41</v>
      </c>
      <c r="J229" s="2">
        <v>4.0</v>
      </c>
      <c r="K229" s="4">
        <v>28263.33</v>
      </c>
      <c r="L229" s="5">
        <v>113053.32</v>
      </c>
      <c r="N229" s="2" t="str">
        <f>IF(Table1[Quantity] &gt; 2, "Bulk Order", "Standard Order")</f>
        <v>Bulk Order</v>
      </c>
    </row>
    <row r="230" ht="15.75" customHeight="1">
      <c r="A230" s="2" t="s">
        <v>675</v>
      </c>
      <c r="B230" s="3">
        <v>45942.0</v>
      </c>
      <c r="C230" s="2" t="s">
        <v>632</v>
      </c>
      <c r="D230" s="2" t="s">
        <v>532</v>
      </c>
      <c r="E230" s="2">
        <v>25.0</v>
      </c>
      <c r="F230" s="2" t="s">
        <v>37</v>
      </c>
      <c r="G230" s="2" t="s">
        <v>396</v>
      </c>
      <c r="H230" s="2" t="s">
        <v>74</v>
      </c>
      <c r="I230" s="2" t="s">
        <v>45</v>
      </c>
      <c r="J230" s="2">
        <v>6.0</v>
      </c>
      <c r="K230" s="4">
        <v>2417.66</v>
      </c>
      <c r="L230" s="5">
        <v>14505.96</v>
      </c>
      <c r="N230" s="2" t="str">
        <f>IF(Table1[Quantity] &gt; 2, "Bulk Order", "Standard Order")</f>
        <v>Bulk Order</v>
      </c>
    </row>
    <row r="231" ht="15.75" customHeight="1">
      <c r="A231" s="2" t="s">
        <v>676</v>
      </c>
      <c r="B231" s="3">
        <v>45811.0</v>
      </c>
      <c r="C231" s="2" t="s">
        <v>677</v>
      </c>
      <c r="D231" s="2" t="s">
        <v>678</v>
      </c>
      <c r="E231" s="2">
        <v>65.0</v>
      </c>
      <c r="F231" s="2" t="s">
        <v>29</v>
      </c>
      <c r="G231" s="2" t="s">
        <v>396</v>
      </c>
      <c r="H231" s="2" t="s">
        <v>64</v>
      </c>
      <c r="I231" s="2" t="s">
        <v>44</v>
      </c>
      <c r="J231" s="2">
        <v>10.0</v>
      </c>
      <c r="K231" s="4">
        <v>16661.37</v>
      </c>
      <c r="L231" s="5">
        <v>166613.7</v>
      </c>
      <c r="N231" s="2" t="str">
        <f>IF(Table1[Quantity] &gt; 2, "Bulk Order", "Standard Order")</f>
        <v>Bulk Order</v>
      </c>
    </row>
    <row r="232" ht="15.75" customHeight="1">
      <c r="A232" s="2" t="s">
        <v>679</v>
      </c>
      <c r="B232" s="3">
        <v>45987.0</v>
      </c>
      <c r="C232" s="2" t="s">
        <v>680</v>
      </c>
      <c r="D232" s="2" t="s">
        <v>681</v>
      </c>
      <c r="E232" s="2">
        <v>45.0</v>
      </c>
      <c r="F232" s="2" t="s">
        <v>37</v>
      </c>
      <c r="G232" s="2" t="s">
        <v>396</v>
      </c>
      <c r="H232" s="2" t="s">
        <v>42</v>
      </c>
      <c r="I232" s="2" t="s">
        <v>41</v>
      </c>
      <c r="J232" s="2">
        <v>2.0</v>
      </c>
      <c r="K232" s="4">
        <v>6525.25</v>
      </c>
      <c r="L232" s="5">
        <v>13050.5</v>
      </c>
      <c r="N232" s="2" t="str">
        <f>IF(Table1[Quantity] &gt; 2, "Bulk Order", "Standard Order")</f>
        <v>Standard Order</v>
      </c>
    </row>
    <row r="233" ht="15.75" customHeight="1">
      <c r="A233" s="2" t="s">
        <v>682</v>
      </c>
      <c r="B233" s="3">
        <v>45773.0</v>
      </c>
      <c r="C233" s="2" t="s">
        <v>683</v>
      </c>
      <c r="D233" s="2" t="s">
        <v>235</v>
      </c>
      <c r="E233" s="2">
        <v>56.0</v>
      </c>
      <c r="F233" s="2" t="s">
        <v>29</v>
      </c>
      <c r="G233" s="2" t="s">
        <v>396</v>
      </c>
      <c r="H233" s="2" t="s">
        <v>31</v>
      </c>
      <c r="I233" s="2" t="s">
        <v>32</v>
      </c>
      <c r="J233" s="2">
        <v>1.0</v>
      </c>
      <c r="K233" s="4">
        <v>15061.67</v>
      </c>
      <c r="L233" s="5">
        <v>15061.67</v>
      </c>
      <c r="N233" s="2" t="str">
        <f>IF(Table1[Quantity] &gt; 2, "Bulk Order", "Standard Order")</f>
        <v>Standard Order</v>
      </c>
    </row>
    <row r="234" ht="15.75" customHeight="1">
      <c r="A234" s="2" t="s">
        <v>684</v>
      </c>
      <c r="B234" s="3">
        <v>45980.0</v>
      </c>
      <c r="C234" s="2" t="s">
        <v>685</v>
      </c>
      <c r="D234" s="2" t="s">
        <v>686</v>
      </c>
      <c r="E234" s="2">
        <v>41.0</v>
      </c>
      <c r="F234" s="2" t="s">
        <v>29</v>
      </c>
      <c r="G234" s="2" t="s">
        <v>396</v>
      </c>
      <c r="H234" s="2" t="s">
        <v>60</v>
      </c>
      <c r="I234" s="2" t="s">
        <v>43</v>
      </c>
      <c r="J234" s="2">
        <v>7.0</v>
      </c>
      <c r="K234" s="4">
        <v>42494.73</v>
      </c>
      <c r="L234" s="5">
        <v>297463.11</v>
      </c>
      <c r="N234" s="2" t="str">
        <f>IF(Table1[Quantity] &gt; 2, "Bulk Order", "Standard Order")</f>
        <v>Bulk Order</v>
      </c>
    </row>
    <row r="235" ht="15.75" customHeight="1">
      <c r="A235" s="2" t="s">
        <v>687</v>
      </c>
      <c r="B235" s="3">
        <v>45668.0</v>
      </c>
      <c r="C235" s="2" t="s">
        <v>688</v>
      </c>
      <c r="D235" s="2" t="s">
        <v>689</v>
      </c>
      <c r="E235" s="2">
        <v>49.0</v>
      </c>
      <c r="F235" s="2" t="s">
        <v>37</v>
      </c>
      <c r="G235" s="2" t="s">
        <v>396</v>
      </c>
      <c r="H235" s="2" t="s">
        <v>74</v>
      </c>
      <c r="I235" s="2" t="s">
        <v>45</v>
      </c>
      <c r="J235" s="2">
        <v>6.0</v>
      </c>
      <c r="K235" s="4">
        <v>43613.07</v>
      </c>
      <c r="L235" s="5">
        <v>261678.42</v>
      </c>
      <c r="N235" s="2" t="str">
        <f>IF(Table1[Quantity] &gt; 2, "Bulk Order", "Standard Order")</f>
        <v>Bulk Order</v>
      </c>
    </row>
    <row r="236" ht="15.75" customHeight="1">
      <c r="A236" s="2" t="s">
        <v>690</v>
      </c>
      <c r="B236" s="3">
        <v>45882.0</v>
      </c>
      <c r="C236" s="2" t="s">
        <v>691</v>
      </c>
      <c r="D236" s="2" t="s">
        <v>692</v>
      </c>
      <c r="E236" s="2">
        <v>64.0</v>
      </c>
      <c r="F236" s="2" t="s">
        <v>29</v>
      </c>
      <c r="G236" s="2" t="s">
        <v>396</v>
      </c>
      <c r="H236" s="2" t="s">
        <v>60</v>
      </c>
      <c r="I236" s="2" t="s">
        <v>43</v>
      </c>
      <c r="J236" s="2">
        <v>5.0</v>
      </c>
      <c r="K236" s="4">
        <v>21830.06</v>
      </c>
      <c r="L236" s="5">
        <v>109150.3</v>
      </c>
      <c r="N236" s="2" t="str">
        <f>IF(Table1[Quantity] &gt; 2, "Bulk Order", "Standard Order")</f>
        <v>Bulk Order</v>
      </c>
    </row>
    <row r="237" ht="15.75" customHeight="1">
      <c r="A237" s="2" t="s">
        <v>693</v>
      </c>
      <c r="B237" s="3">
        <v>45783.0</v>
      </c>
      <c r="C237" s="2" t="s">
        <v>694</v>
      </c>
      <c r="D237" s="2" t="s">
        <v>695</v>
      </c>
      <c r="E237" s="2">
        <v>30.0</v>
      </c>
      <c r="F237" s="2" t="s">
        <v>37</v>
      </c>
      <c r="G237" s="2" t="s">
        <v>396</v>
      </c>
      <c r="H237" s="2" t="s">
        <v>56</v>
      </c>
      <c r="I237" s="2" t="s">
        <v>43</v>
      </c>
      <c r="J237" s="2">
        <v>6.0</v>
      </c>
      <c r="K237" s="4">
        <v>10404.98</v>
      </c>
      <c r="L237" s="5">
        <v>62429.88</v>
      </c>
      <c r="N237" s="2" t="str">
        <f>IF(Table1[Quantity] &gt; 2, "Bulk Order", "Standard Order")</f>
        <v>Bulk Order</v>
      </c>
    </row>
    <row r="238" ht="15.75" customHeight="1">
      <c r="A238" s="2" t="s">
        <v>696</v>
      </c>
      <c r="B238" s="3">
        <v>45818.0</v>
      </c>
      <c r="C238" s="2" t="s">
        <v>697</v>
      </c>
      <c r="D238" s="2" t="s">
        <v>689</v>
      </c>
      <c r="E238" s="2">
        <v>62.0</v>
      </c>
      <c r="F238" s="2" t="s">
        <v>29</v>
      </c>
      <c r="G238" s="2" t="s">
        <v>396</v>
      </c>
      <c r="H238" s="2" t="s">
        <v>56</v>
      </c>
      <c r="I238" s="2" t="s">
        <v>43</v>
      </c>
      <c r="J238" s="2">
        <v>6.0</v>
      </c>
      <c r="K238" s="4">
        <v>35834.15</v>
      </c>
      <c r="L238" s="5">
        <v>215004.9</v>
      </c>
      <c r="N238" s="2" t="str">
        <f>IF(Table1[Quantity] &gt; 2, "Bulk Order", "Standard Order")</f>
        <v>Bulk Order</v>
      </c>
    </row>
    <row r="239" ht="15.75" customHeight="1">
      <c r="A239" s="2" t="s">
        <v>698</v>
      </c>
      <c r="B239" s="3">
        <v>46015.0</v>
      </c>
      <c r="C239" s="2" t="s">
        <v>699</v>
      </c>
      <c r="D239" s="2" t="s">
        <v>452</v>
      </c>
      <c r="E239" s="2">
        <v>52.0</v>
      </c>
      <c r="F239" s="2" t="s">
        <v>29</v>
      </c>
      <c r="G239" s="2" t="s">
        <v>396</v>
      </c>
      <c r="H239" s="2" t="s">
        <v>42</v>
      </c>
      <c r="I239" s="2" t="s">
        <v>41</v>
      </c>
      <c r="J239" s="2">
        <v>3.0</v>
      </c>
      <c r="K239" s="4">
        <v>653.97</v>
      </c>
      <c r="L239" s="5">
        <v>1961.91</v>
      </c>
      <c r="N239" s="2" t="str">
        <f>IF(Table1[Quantity] &gt; 2, "Bulk Order", "Standard Order")</f>
        <v>Bulk Order</v>
      </c>
    </row>
    <row r="240" ht="15.75" customHeight="1">
      <c r="A240" s="2" t="s">
        <v>700</v>
      </c>
      <c r="B240" s="3">
        <v>45998.0</v>
      </c>
      <c r="C240" s="2" t="s">
        <v>701</v>
      </c>
      <c r="D240" s="2" t="s">
        <v>702</v>
      </c>
      <c r="E240" s="2">
        <v>65.0</v>
      </c>
      <c r="F240" s="2" t="s">
        <v>29</v>
      </c>
      <c r="G240" s="2" t="s">
        <v>396</v>
      </c>
      <c r="H240" s="2" t="s">
        <v>31</v>
      </c>
      <c r="I240" s="2" t="s">
        <v>32</v>
      </c>
      <c r="J240" s="2">
        <v>1.0</v>
      </c>
      <c r="K240" s="4">
        <v>23886.69</v>
      </c>
      <c r="L240" s="5">
        <v>23886.69</v>
      </c>
      <c r="N240" s="2" t="str">
        <f>IF(Table1[Quantity] &gt; 2, "Bulk Order", "Standard Order")</f>
        <v>Standard Order</v>
      </c>
    </row>
    <row r="241" ht="15.75" customHeight="1">
      <c r="A241" s="2" t="s">
        <v>703</v>
      </c>
      <c r="B241" s="3">
        <v>45962.0</v>
      </c>
      <c r="C241" s="2" t="s">
        <v>704</v>
      </c>
      <c r="D241" s="2" t="s">
        <v>705</v>
      </c>
      <c r="E241" s="2">
        <v>37.0</v>
      </c>
      <c r="F241" s="2" t="s">
        <v>29</v>
      </c>
      <c r="G241" s="2" t="s">
        <v>396</v>
      </c>
      <c r="H241" s="2" t="s">
        <v>74</v>
      </c>
      <c r="I241" s="2" t="s">
        <v>45</v>
      </c>
      <c r="J241" s="2">
        <v>2.0</v>
      </c>
      <c r="K241" s="4">
        <v>49387.2</v>
      </c>
      <c r="L241" s="5">
        <v>98774.4</v>
      </c>
      <c r="N241" s="2" t="str">
        <f>IF(Table1[Quantity] &gt; 2, "Bulk Order", "Standard Order")</f>
        <v>Standard Order</v>
      </c>
    </row>
    <row r="242" ht="15.75" customHeight="1">
      <c r="A242" s="2" t="s">
        <v>706</v>
      </c>
      <c r="B242" s="3">
        <v>45881.0</v>
      </c>
      <c r="C242" s="2" t="s">
        <v>707</v>
      </c>
      <c r="D242" s="2" t="s">
        <v>708</v>
      </c>
      <c r="E242" s="2">
        <v>26.0</v>
      </c>
      <c r="F242" s="2" t="s">
        <v>37</v>
      </c>
      <c r="G242" s="2" t="s">
        <v>396</v>
      </c>
      <c r="H242" s="2" t="s">
        <v>56</v>
      </c>
      <c r="I242" s="2" t="s">
        <v>43</v>
      </c>
      <c r="J242" s="2">
        <v>8.0</v>
      </c>
      <c r="K242" s="4">
        <v>46866.95</v>
      </c>
      <c r="L242" s="5">
        <v>374935.6</v>
      </c>
      <c r="N242" s="2" t="str">
        <f>IF(Table1[Quantity] &gt; 2, "Bulk Order", "Standard Order")</f>
        <v>Bulk Order</v>
      </c>
    </row>
    <row r="243" ht="15.75" customHeight="1">
      <c r="A243" s="2" t="s">
        <v>709</v>
      </c>
      <c r="B243" s="3">
        <v>45701.0</v>
      </c>
      <c r="C243" s="2" t="s">
        <v>710</v>
      </c>
      <c r="D243" s="2" t="s">
        <v>711</v>
      </c>
      <c r="E243" s="2">
        <v>48.0</v>
      </c>
      <c r="F243" s="2" t="s">
        <v>37</v>
      </c>
      <c r="G243" s="2" t="s">
        <v>396</v>
      </c>
      <c r="H243" s="2" t="s">
        <v>64</v>
      </c>
      <c r="I243" s="2" t="s">
        <v>44</v>
      </c>
      <c r="J243" s="2">
        <v>8.0</v>
      </c>
      <c r="K243" s="4">
        <v>24450.18</v>
      </c>
      <c r="L243" s="5">
        <v>195601.44</v>
      </c>
      <c r="N243" s="2" t="str">
        <f>IF(Table1[Quantity] &gt; 2, "Bulk Order", "Standard Order")</f>
        <v>Bulk Order</v>
      </c>
    </row>
    <row r="244" ht="15.75" customHeight="1">
      <c r="A244" s="2" t="s">
        <v>712</v>
      </c>
      <c r="B244" s="3">
        <v>45790.0</v>
      </c>
      <c r="C244" s="2" t="s">
        <v>713</v>
      </c>
      <c r="D244" s="2" t="s">
        <v>345</v>
      </c>
      <c r="E244" s="2">
        <v>54.0</v>
      </c>
      <c r="F244" s="2" t="s">
        <v>29</v>
      </c>
      <c r="G244" s="2" t="s">
        <v>396</v>
      </c>
      <c r="H244" s="2" t="s">
        <v>56</v>
      </c>
      <c r="I244" s="2" t="s">
        <v>43</v>
      </c>
      <c r="J244" s="2">
        <v>8.0</v>
      </c>
      <c r="K244" s="4">
        <v>35028.53</v>
      </c>
      <c r="L244" s="5">
        <v>280228.24</v>
      </c>
      <c r="N244" s="2" t="str">
        <f>IF(Table1[Quantity] &gt; 2, "Bulk Order", "Standard Order")</f>
        <v>Bulk Order</v>
      </c>
    </row>
    <row r="245" ht="15.75" customHeight="1">
      <c r="A245" s="2" t="s">
        <v>714</v>
      </c>
      <c r="B245" s="3">
        <v>45703.0</v>
      </c>
      <c r="C245" s="2" t="s">
        <v>715</v>
      </c>
      <c r="D245" s="2" t="s">
        <v>716</v>
      </c>
      <c r="E245" s="2">
        <v>61.0</v>
      </c>
      <c r="F245" s="2" t="s">
        <v>29</v>
      </c>
      <c r="G245" s="2" t="s">
        <v>396</v>
      </c>
      <c r="H245" s="2" t="s">
        <v>74</v>
      </c>
      <c r="I245" s="2" t="s">
        <v>45</v>
      </c>
      <c r="J245" s="2">
        <v>3.0</v>
      </c>
      <c r="K245" s="4">
        <v>32751.77</v>
      </c>
      <c r="L245" s="5">
        <v>98255.31</v>
      </c>
      <c r="N245" s="2" t="str">
        <f>IF(Table1[Quantity] &gt; 2, "Bulk Order", "Standard Order")</f>
        <v>Bulk Order</v>
      </c>
    </row>
    <row r="246" ht="15.75" customHeight="1">
      <c r="A246" s="2" t="s">
        <v>717</v>
      </c>
      <c r="B246" s="3">
        <v>45905.0</v>
      </c>
      <c r="C246" s="2" t="s">
        <v>718</v>
      </c>
      <c r="D246" s="2" t="s">
        <v>719</v>
      </c>
      <c r="E246" s="2">
        <v>32.0</v>
      </c>
      <c r="F246" s="2" t="s">
        <v>37</v>
      </c>
      <c r="G246" s="2" t="s">
        <v>396</v>
      </c>
      <c r="H246" s="2" t="s">
        <v>42</v>
      </c>
      <c r="I246" s="2" t="s">
        <v>41</v>
      </c>
      <c r="J246" s="2">
        <v>4.0</v>
      </c>
      <c r="K246" s="4">
        <v>9989.04</v>
      </c>
      <c r="L246" s="5">
        <v>39956.16</v>
      </c>
      <c r="N246" s="2" t="str">
        <f>IF(Table1[Quantity] &gt; 2, "Bulk Order", "Standard Order")</f>
        <v>Bulk Order</v>
      </c>
    </row>
    <row r="247" ht="15.75" customHeight="1">
      <c r="A247" s="2" t="s">
        <v>720</v>
      </c>
      <c r="B247" s="3">
        <v>45946.0</v>
      </c>
      <c r="C247" s="2" t="s">
        <v>721</v>
      </c>
      <c r="D247" s="2" t="s">
        <v>579</v>
      </c>
      <c r="E247" s="2">
        <v>24.0</v>
      </c>
      <c r="F247" s="2" t="s">
        <v>37</v>
      </c>
      <c r="G247" s="2" t="s">
        <v>396</v>
      </c>
      <c r="H247" s="2" t="s">
        <v>64</v>
      </c>
      <c r="I247" s="2" t="s">
        <v>44</v>
      </c>
      <c r="J247" s="2">
        <v>1.0</v>
      </c>
      <c r="K247" s="4">
        <v>25737.43</v>
      </c>
      <c r="L247" s="5">
        <v>25737.43</v>
      </c>
      <c r="N247" s="2" t="str">
        <f>IF(Table1[Quantity] &gt; 2, "Bulk Order", "Standard Order")</f>
        <v>Standard Order</v>
      </c>
    </row>
    <row r="248" ht="15.75" customHeight="1">
      <c r="A248" s="2" t="s">
        <v>722</v>
      </c>
      <c r="B248" s="3">
        <v>45709.0</v>
      </c>
      <c r="C248" s="2" t="s">
        <v>723</v>
      </c>
      <c r="D248" s="2" t="s">
        <v>724</v>
      </c>
      <c r="F248" s="2" t="s">
        <v>37</v>
      </c>
      <c r="G248" s="2" t="s">
        <v>396</v>
      </c>
      <c r="H248" s="2" t="s">
        <v>56</v>
      </c>
      <c r="I248" s="2" t="s">
        <v>43</v>
      </c>
      <c r="J248" s="2">
        <v>9.0</v>
      </c>
      <c r="K248" s="4">
        <v>2879.01</v>
      </c>
      <c r="L248" s="5">
        <v>25911.09</v>
      </c>
      <c r="N248" s="2" t="str">
        <f>IF(Table1[Quantity] &gt; 2, "Bulk Order", "Standard Order")</f>
        <v>Bulk Order</v>
      </c>
    </row>
    <row r="249" ht="15.75" customHeight="1">
      <c r="A249" s="2" t="s">
        <v>725</v>
      </c>
      <c r="B249" s="3">
        <v>45949.0</v>
      </c>
      <c r="C249" s="2" t="s">
        <v>726</v>
      </c>
      <c r="D249" s="2" t="s">
        <v>115</v>
      </c>
      <c r="E249" s="2">
        <v>31.0</v>
      </c>
      <c r="F249" s="2" t="s">
        <v>37</v>
      </c>
      <c r="G249" s="2" t="s">
        <v>727</v>
      </c>
      <c r="H249" s="2" t="s">
        <v>64</v>
      </c>
      <c r="I249" s="2" t="s">
        <v>44</v>
      </c>
      <c r="J249" s="2">
        <v>1.0</v>
      </c>
      <c r="K249" s="4">
        <v>7280.64</v>
      </c>
      <c r="L249" s="5">
        <v>7280.64</v>
      </c>
      <c r="N249" s="2" t="str">
        <f>IF(Table1[Quantity] &gt; 2, "Bulk Order", "Standard Order")</f>
        <v>Standard Order</v>
      </c>
    </row>
    <row r="250" ht="15.75" customHeight="1">
      <c r="A250" s="2" t="s">
        <v>728</v>
      </c>
      <c r="B250" s="3">
        <v>45984.0</v>
      </c>
      <c r="C250" s="2" t="s">
        <v>729</v>
      </c>
      <c r="D250" s="2" t="s">
        <v>730</v>
      </c>
      <c r="E250" s="2">
        <v>52.0</v>
      </c>
      <c r="F250" s="2" t="s">
        <v>37</v>
      </c>
      <c r="G250" s="2" t="s">
        <v>727</v>
      </c>
      <c r="H250" s="2" t="s">
        <v>64</v>
      </c>
      <c r="I250" s="2" t="s">
        <v>44</v>
      </c>
      <c r="J250" s="2">
        <v>10.0</v>
      </c>
      <c r="K250" s="4">
        <v>31576.5</v>
      </c>
      <c r="L250" s="5">
        <v>315765.0</v>
      </c>
      <c r="N250" s="2" t="str">
        <f>IF(Table1[Quantity] &gt; 2, "Bulk Order", "Standard Order")</f>
        <v>Bulk Order</v>
      </c>
    </row>
    <row r="251" ht="15.75" customHeight="1">
      <c r="A251" s="2" t="s">
        <v>731</v>
      </c>
      <c r="B251" s="3">
        <v>45878.0</v>
      </c>
      <c r="C251" s="2" t="s">
        <v>732</v>
      </c>
      <c r="D251" s="2" t="s">
        <v>405</v>
      </c>
      <c r="E251" s="2">
        <v>33.0</v>
      </c>
      <c r="F251" s="2" t="s">
        <v>37</v>
      </c>
      <c r="G251" s="2" t="s">
        <v>727</v>
      </c>
      <c r="H251" s="2" t="s">
        <v>31</v>
      </c>
      <c r="I251" s="2" t="s">
        <v>32</v>
      </c>
      <c r="J251" s="2">
        <v>2.0</v>
      </c>
      <c r="K251" s="4">
        <v>21382.16</v>
      </c>
      <c r="L251" s="5">
        <v>42764.32</v>
      </c>
      <c r="N251" s="2" t="str">
        <f>IF(Table1[Quantity] &gt; 2, "Bulk Order", "Standard Order")</f>
        <v>Standard Order</v>
      </c>
    </row>
    <row r="252" ht="15.75" customHeight="1">
      <c r="A252" s="2" t="s">
        <v>733</v>
      </c>
      <c r="B252" s="3">
        <v>45780.0</v>
      </c>
      <c r="C252" s="2" t="s">
        <v>734</v>
      </c>
      <c r="D252" s="2" t="s">
        <v>735</v>
      </c>
      <c r="E252" s="2">
        <v>18.0</v>
      </c>
      <c r="F252" s="2" t="s">
        <v>29</v>
      </c>
      <c r="G252" s="2" t="s">
        <v>727</v>
      </c>
      <c r="H252" s="2" t="s">
        <v>60</v>
      </c>
      <c r="I252" s="2" t="s">
        <v>43</v>
      </c>
      <c r="J252" s="2">
        <v>5.0</v>
      </c>
      <c r="K252" s="4">
        <v>46822.84</v>
      </c>
      <c r="L252" s="5">
        <v>234114.2</v>
      </c>
      <c r="N252" s="2" t="str">
        <f>IF(Table1[Quantity] &gt; 2, "Bulk Order", "Standard Order")</f>
        <v>Bulk Order</v>
      </c>
    </row>
    <row r="253" ht="15.75" customHeight="1">
      <c r="A253" s="2" t="s">
        <v>736</v>
      </c>
      <c r="B253" s="3">
        <v>45724.0</v>
      </c>
      <c r="C253" s="2" t="s">
        <v>737</v>
      </c>
      <c r="D253" s="2" t="s">
        <v>738</v>
      </c>
      <c r="E253" s="2">
        <v>36.0</v>
      </c>
      <c r="F253" s="2" t="s">
        <v>29</v>
      </c>
      <c r="G253" s="2" t="s">
        <v>727</v>
      </c>
      <c r="H253" s="2" t="s">
        <v>56</v>
      </c>
      <c r="I253" s="2" t="s">
        <v>43</v>
      </c>
      <c r="J253" s="2">
        <v>4.0</v>
      </c>
      <c r="K253" s="4">
        <v>47896.7</v>
      </c>
      <c r="L253" s="5">
        <v>191586.8</v>
      </c>
      <c r="N253" s="2" t="str">
        <f>IF(Table1[Quantity] &gt; 2, "Bulk Order", "Standard Order")</f>
        <v>Bulk Order</v>
      </c>
    </row>
    <row r="254" ht="15.75" customHeight="1">
      <c r="A254" s="2" t="s">
        <v>739</v>
      </c>
      <c r="B254" s="3">
        <v>45793.0</v>
      </c>
      <c r="C254" s="2" t="s">
        <v>740</v>
      </c>
      <c r="D254" s="2" t="s">
        <v>277</v>
      </c>
      <c r="E254" s="2">
        <v>47.0</v>
      </c>
      <c r="F254" s="2" t="s">
        <v>37</v>
      </c>
      <c r="G254" s="2" t="s">
        <v>727</v>
      </c>
      <c r="H254" s="2" t="s">
        <v>31</v>
      </c>
      <c r="I254" s="2" t="s">
        <v>32</v>
      </c>
      <c r="J254" s="2">
        <v>9.0</v>
      </c>
      <c r="K254" s="4">
        <v>27164.06</v>
      </c>
      <c r="L254" s="5">
        <v>244476.54</v>
      </c>
      <c r="N254" s="2" t="str">
        <f>IF(Table1[Quantity] &gt; 2, "Bulk Order", "Standard Order")</f>
        <v>Bulk Order</v>
      </c>
    </row>
    <row r="255" ht="15.75" customHeight="1">
      <c r="A255" s="2" t="s">
        <v>741</v>
      </c>
      <c r="B255" s="3">
        <v>45827.0</v>
      </c>
      <c r="C255" s="2" t="s">
        <v>742</v>
      </c>
      <c r="D255" s="2" t="s">
        <v>627</v>
      </c>
      <c r="E255" s="2">
        <v>45.0</v>
      </c>
      <c r="F255" s="2" t="s">
        <v>37</v>
      </c>
      <c r="G255" s="2" t="s">
        <v>727</v>
      </c>
      <c r="H255" s="2" t="s">
        <v>31</v>
      </c>
      <c r="I255" s="2" t="s">
        <v>32</v>
      </c>
      <c r="J255" s="2">
        <v>3.0</v>
      </c>
      <c r="K255" s="4">
        <v>8572.65</v>
      </c>
      <c r="L255" s="5">
        <v>25717.95</v>
      </c>
      <c r="N255" s="2" t="str">
        <f>IF(Table1[Quantity] &gt; 2, "Bulk Order", "Standard Order")</f>
        <v>Bulk Order</v>
      </c>
    </row>
    <row r="256" ht="15.75" customHeight="1">
      <c r="A256" s="2" t="s">
        <v>743</v>
      </c>
      <c r="B256" s="3">
        <v>46021.0</v>
      </c>
      <c r="C256" s="2" t="s">
        <v>744</v>
      </c>
      <c r="D256" s="2" t="s">
        <v>745</v>
      </c>
      <c r="E256" s="2">
        <v>45.0</v>
      </c>
      <c r="F256" s="2" t="s">
        <v>37</v>
      </c>
      <c r="G256" s="2" t="s">
        <v>727</v>
      </c>
      <c r="H256" s="2" t="s">
        <v>60</v>
      </c>
      <c r="I256" s="2" t="s">
        <v>43</v>
      </c>
      <c r="J256" s="2">
        <v>2.0</v>
      </c>
      <c r="K256" s="4">
        <v>8883.45</v>
      </c>
      <c r="L256" s="5">
        <v>17766.9</v>
      </c>
      <c r="N256" s="2" t="str">
        <f>IF(Table1[Quantity] &gt; 2, "Bulk Order", "Standard Order")</f>
        <v>Standard Order</v>
      </c>
    </row>
    <row r="257" ht="15.75" customHeight="1">
      <c r="A257" s="2" t="s">
        <v>746</v>
      </c>
      <c r="B257" s="3">
        <v>45890.0</v>
      </c>
      <c r="C257" s="2" t="s">
        <v>747</v>
      </c>
      <c r="D257" s="2" t="s">
        <v>101</v>
      </c>
      <c r="E257" s="2">
        <v>61.0</v>
      </c>
      <c r="F257" s="2" t="s">
        <v>29</v>
      </c>
      <c r="G257" s="2" t="s">
        <v>727</v>
      </c>
      <c r="H257" s="2" t="s">
        <v>31</v>
      </c>
      <c r="I257" s="2" t="s">
        <v>32</v>
      </c>
      <c r="J257" s="2">
        <v>1.0</v>
      </c>
      <c r="K257" s="4">
        <v>13129.64</v>
      </c>
      <c r="L257" s="5">
        <v>13129.64</v>
      </c>
      <c r="N257" s="2" t="str">
        <f>IF(Table1[Quantity] &gt; 2, "Bulk Order", "Standard Order")</f>
        <v>Standard Order</v>
      </c>
    </row>
    <row r="258" ht="15.75" customHeight="1">
      <c r="A258" s="2" t="s">
        <v>748</v>
      </c>
      <c r="B258" s="3">
        <v>45721.0</v>
      </c>
      <c r="C258" s="2" t="s">
        <v>749</v>
      </c>
      <c r="D258" s="2" t="s">
        <v>750</v>
      </c>
      <c r="E258" s="2">
        <v>19.0</v>
      </c>
      <c r="F258" s="2" t="s">
        <v>29</v>
      </c>
      <c r="G258" s="2" t="s">
        <v>727</v>
      </c>
      <c r="H258" s="2" t="s">
        <v>74</v>
      </c>
      <c r="I258" s="2" t="s">
        <v>45</v>
      </c>
      <c r="J258" s="2">
        <v>9.0</v>
      </c>
      <c r="K258" s="4">
        <v>45747.37</v>
      </c>
      <c r="L258" s="5">
        <v>411726.33</v>
      </c>
      <c r="N258" s="2" t="str">
        <f>IF(Table1[Quantity] &gt; 2, "Bulk Order", "Standard Order")</f>
        <v>Bulk Order</v>
      </c>
    </row>
    <row r="259" ht="15.75" customHeight="1">
      <c r="A259" s="2" t="s">
        <v>751</v>
      </c>
      <c r="B259" s="3">
        <v>45954.0</v>
      </c>
      <c r="C259" s="2" t="s">
        <v>752</v>
      </c>
      <c r="D259" s="2" t="s">
        <v>98</v>
      </c>
      <c r="E259" s="2">
        <v>36.0</v>
      </c>
      <c r="F259" s="2" t="s">
        <v>37</v>
      </c>
      <c r="G259" s="2" t="s">
        <v>727</v>
      </c>
      <c r="H259" s="2" t="s">
        <v>42</v>
      </c>
      <c r="I259" s="2" t="s">
        <v>41</v>
      </c>
      <c r="J259" s="2">
        <v>9.0</v>
      </c>
      <c r="K259" s="4">
        <v>24828.05</v>
      </c>
      <c r="L259" s="5">
        <v>223452.45</v>
      </c>
      <c r="N259" s="2" t="str">
        <f>IF(Table1[Quantity] &gt; 2, "Bulk Order", "Standard Order")</f>
        <v>Bulk Order</v>
      </c>
    </row>
    <row r="260" ht="15.75" customHeight="1">
      <c r="A260" s="2" t="s">
        <v>753</v>
      </c>
      <c r="B260" s="3">
        <v>45701.0</v>
      </c>
      <c r="C260" s="2" t="s">
        <v>754</v>
      </c>
      <c r="D260" s="2" t="s">
        <v>755</v>
      </c>
      <c r="E260" s="2">
        <v>54.0</v>
      </c>
      <c r="F260" s="2" t="s">
        <v>37</v>
      </c>
      <c r="G260" s="2" t="s">
        <v>727</v>
      </c>
      <c r="H260" s="2" t="s">
        <v>56</v>
      </c>
      <c r="I260" s="2" t="s">
        <v>43</v>
      </c>
      <c r="J260" s="2">
        <v>2.0</v>
      </c>
      <c r="K260" s="4">
        <v>31217.12</v>
      </c>
      <c r="L260" s="5">
        <v>62434.24</v>
      </c>
      <c r="N260" s="2" t="str">
        <f>IF(Table1[Quantity] &gt; 2, "Bulk Order", "Standard Order")</f>
        <v>Standard Order</v>
      </c>
    </row>
    <row r="261" ht="15.75" customHeight="1">
      <c r="A261" s="2" t="s">
        <v>756</v>
      </c>
      <c r="B261" s="3">
        <v>46003.0</v>
      </c>
      <c r="C261" s="2" t="s">
        <v>757</v>
      </c>
      <c r="D261" s="2" t="s">
        <v>758</v>
      </c>
      <c r="E261" s="2">
        <v>54.0</v>
      </c>
      <c r="F261" s="2" t="s">
        <v>37</v>
      </c>
      <c r="G261" s="2" t="s">
        <v>727</v>
      </c>
      <c r="H261" s="2" t="s">
        <v>74</v>
      </c>
      <c r="I261" s="2" t="s">
        <v>45</v>
      </c>
      <c r="J261" s="2">
        <v>8.0</v>
      </c>
      <c r="K261" s="4">
        <v>38897.58</v>
      </c>
      <c r="L261" s="5">
        <v>311180.64</v>
      </c>
      <c r="N261" s="2" t="str">
        <f>IF(Table1[Quantity] &gt; 2, "Bulk Order", "Standard Order")</f>
        <v>Bulk Order</v>
      </c>
    </row>
    <row r="262" ht="15.75" customHeight="1">
      <c r="A262" s="2" t="s">
        <v>759</v>
      </c>
      <c r="B262" s="3">
        <v>45984.0</v>
      </c>
      <c r="C262" s="2" t="s">
        <v>760</v>
      </c>
      <c r="D262" s="2" t="s">
        <v>599</v>
      </c>
      <c r="E262" s="2">
        <v>44.0</v>
      </c>
      <c r="F262" s="2" t="s">
        <v>29</v>
      </c>
      <c r="G262" s="2" t="s">
        <v>727</v>
      </c>
      <c r="H262" s="2" t="s">
        <v>42</v>
      </c>
      <c r="I262" s="2" t="s">
        <v>41</v>
      </c>
      <c r="J262" s="2">
        <v>6.0</v>
      </c>
      <c r="K262" s="4">
        <v>8547.07</v>
      </c>
      <c r="L262" s="5">
        <v>51282.42</v>
      </c>
      <c r="N262" s="2" t="str">
        <f>IF(Table1[Quantity] &gt; 2, "Bulk Order", "Standard Order")</f>
        <v>Bulk Order</v>
      </c>
    </row>
    <row r="263" ht="15.75" customHeight="1">
      <c r="A263" s="2" t="s">
        <v>761</v>
      </c>
      <c r="B263" s="3">
        <v>45717.0</v>
      </c>
      <c r="C263" s="2" t="s">
        <v>586</v>
      </c>
      <c r="D263" s="2" t="s">
        <v>762</v>
      </c>
      <c r="E263" s="2">
        <v>32.0</v>
      </c>
      <c r="F263" s="2" t="s">
        <v>37</v>
      </c>
      <c r="G263" s="2" t="s">
        <v>727</v>
      </c>
      <c r="H263" s="2" t="s">
        <v>60</v>
      </c>
      <c r="I263" s="2" t="s">
        <v>43</v>
      </c>
      <c r="J263" s="2">
        <v>3.0</v>
      </c>
      <c r="K263" s="4">
        <v>2638.97</v>
      </c>
      <c r="L263" s="5">
        <v>7916.91</v>
      </c>
      <c r="N263" s="2" t="str">
        <f>IF(Table1[Quantity] &gt; 2, "Bulk Order", "Standard Order")</f>
        <v>Bulk Order</v>
      </c>
    </row>
    <row r="264" ht="15.75" customHeight="1">
      <c r="A264" s="2" t="s">
        <v>763</v>
      </c>
      <c r="B264" s="3">
        <v>45796.0</v>
      </c>
      <c r="C264" s="2" t="s">
        <v>764</v>
      </c>
      <c r="D264" s="2" t="s">
        <v>765</v>
      </c>
      <c r="E264" s="2">
        <v>24.0</v>
      </c>
      <c r="F264" s="2" t="s">
        <v>37</v>
      </c>
      <c r="G264" s="2" t="s">
        <v>727</v>
      </c>
      <c r="H264" s="2" t="s">
        <v>42</v>
      </c>
      <c r="I264" s="2" t="s">
        <v>41</v>
      </c>
      <c r="J264" s="2">
        <v>8.0</v>
      </c>
      <c r="K264" s="4">
        <v>4391.72</v>
      </c>
      <c r="L264" s="5">
        <v>35133.76</v>
      </c>
      <c r="N264" s="2" t="str">
        <f>IF(Table1[Quantity] &gt; 2, "Bulk Order", "Standard Order")</f>
        <v>Bulk Order</v>
      </c>
    </row>
    <row r="265" ht="15.75" customHeight="1">
      <c r="A265" s="2" t="s">
        <v>766</v>
      </c>
      <c r="B265" s="3">
        <v>45995.0</v>
      </c>
      <c r="C265" s="2" t="s">
        <v>767</v>
      </c>
      <c r="D265" s="2" t="s">
        <v>768</v>
      </c>
      <c r="E265" s="2">
        <v>55.0</v>
      </c>
      <c r="F265" s="2" t="s">
        <v>37</v>
      </c>
      <c r="G265" s="2" t="s">
        <v>727</v>
      </c>
      <c r="H265" s="2" t="s">
        <v>31</v>
      </c>
      <c r="I265" s="2" t="s">
        <v>32</v>
      </c>
      <c r="J265" s="2">
        <v>10.0</v>
      </c>
      <c r="K265" s="4">
        <v>25930.1</v>
      </c>
      <c r="L265" s="5">
        <v>259301.0</v>
      </c>
      <c r="N265" s="2" t="str">
        <f>IF(Table1[Quantity] &gt; 2, "Bulk Order", "Standard Order")</f>
        <v>Bulk Order</v>
      </c>
    </row>
    <row r="266" ht="15.75" customHeight="1">
      <c r="A266" s="2" t="s">
        <v>769</v>
      </c>
      <c r="B266" s="3">
        <v>45720.0</v>
      </c>
      <c r="C266" s="2" t="s">
        <v>770</v>
      </c>
      <c r="D266" s="2" t="s">
        <v>771</v>
      </c>
      <c r="E266" s="2">
        <v>44.0</v>
      </c>
      <c r="F266" s="2" t="s">
        <v>37</v>
      </c>
      <c r="G266" s="2" t="s">
        <v>727</v>
      </c>
      <c r="H266" s="2" t="s">
        <v>60</v>
      </c>
      <c r="I266" s="2" t="s">
        <v>43</v>
      </c>
      <c r="J266" s="2">
        <v>8.0</v>
      </c>
      <c r="K266" s="4">
        <v>26281.83</v>
      </c>
      <c r="L266" s="5">
        <v>210254.64</v>
      </c>
      <c r="N266" s="2" t="str">
        <f>IF(Table1[Quantity] &gt; 2, "Bulk Order", "Standard Order")</f>
        <v>Bulk Order</v>
      </c>
    </row>
    <row r="267" ht="15.75" customHeight="1">
      <c r="A267" s="2" t="s">
        <v>772</v>
      </c>
      <c r="B267" s="3">
        <v>45674.0</v>
      </c>
      <c r="C267" s="2" t="s">
        <v>773</v>
      </c>
      <c r="D267" s="2" t="s">
        <v>486</v>
      </c>
      <c r="E267" s="2">
        <v>37.0</v>
      </c>
      <c r="F267" s="2" t="s">
        <v>29</v>
      </c>
      <c r="G267" s="2" t="s">
        <v>727</v>
      </c>
      <c r="H267" s="2" t="s">
        <v>64</v>
      </c>
      <c r="I267" s="2" t="s">
        <v>44</v>
      </c>
      <c r="J267" s="2">
        <v>5.0</v>
      </c>
      <c r="K267" s="4">
        <v>39039.96</v>
      </c>
      <c r="L267" s="5">
        <v>195199.8</v>
      </c>
      <c r="N267" s="2" t="str">
        <f>IF(Table1[Quantity] &gt; 2, "Bulk Order", "Standard Order")</f>
        <v>Bulk Order</v>
      </c>
    </row>
    <row r="268" ht="15.75" customHeight="1">
      <c r="A268" s="2" t="s">
        <v>774</v>
      </c>
      <c r="B268" s="3">
        <v>45682.0</v>
      </c>
      <c r="C268" s="2" t="s">
        <v>775</v>
      </c>
      <c r="D268" s="2" t="s">
        <v>776</v>
      </c>
      <c r="E268" s="2">
        <v>24.0</v>
      </c>
      <c r="F268" s="2" t="s">
        <v>37</v>
      </c>
      <c r="G268" s="2" t="s">
        <v>727</v>
      </c>
      <c r="H268" s="2" t="s">
        <v>60</v>
      </c>
      <c r="I268" s="2" t="s">
        <v>43</v>
      </c>
      <c r="J268" s="2">
        <v>9.0</v>
      </c>
      <c r="K268" s="4">
        <v>25138.42</v>
      </c>
      <c r="L268" s="5">
        <v>226245.78</v>
      </c>
      <c r="N268" s="2" t="str">
        <f>IF(Table1[Quantity] &gt; 2, "Bulk Order", "Standard Order")</f>
        <v>Bulk Order</v>
      </c>
    </row>
    <row r="269" ht="15.75" customHeight="1">
      <c r="A269" s="2" t="s">
        <v>777</v>
      </c>
      <c r="B269" s="3">
        <v>45721.0</v>
      </c>
      <c r="C269" s="2" t="s">
        <v>778</v>
      </c>
      <c r="D269" s="2" t="s">
        <v>139</v>
      </c>
      <c r="E269" s="2">
        <v>33.0</v>
      </c>
      <c r="F269" s="2" t="s">
        <v>29</v>
      </c>
      <c r="G269" s="2" t="s">
        <v>727</v>
      </c>
      <c r="H269" s="2" t="s">
        <v>64</v>
      </c>
      <c r="I269" s="2" t="s">
        <v>44</v>
      </c>
      <c r="J269" s="2">
        <v>6.0</v>
      </c>
      <c r="K269" s="4">
        <v>30177.21</v>
      </c>
      <c r="L269" s="5">
        <v>181063.26</v>
      </c>
      <c r="N269" s="2" t="str">
        <f>IF(Table1[Quantity] &gt; 2, "Bulk Order", "Standard Order")</f>
        <v>Bulk Order</v>
      </c>
    </row>
    <row r="270" ht="15.75" customHeight="1">
      <c r="A270" s="2" t="s">
        <v>779</v>
      </c>
      <c r="B270" s="3">
        <v>45997.0</v>
      </c>
      <c r="C270" s="2" t="s">
        <v>780</v>
      </c>
      <c r="D270" s="2" t="s">
        <v>781</v>
      </c>
      <c r="E270" s="2">
        <v>28.0</v>
      </c>
      <c r="F270" s="2" t="s">
        <v>37</v>
      </c>
      <c r="G270" s="2" t="s">
        <v>727</v>
      </c>
      <c r="H270" s="2" t="s">
        <v>56</v>
      </c>
      <c r="I270" s="2" t="s">
        <v>43</v>
      </c>
      <c r="J270" s="2">
        <v>4.0</v>
      </c>
      <c r="K270" s="4">
        <v>6898.4</v>
      </c>
      <c r="L270" s="5">
        <v>27593.6</v>
      </c>
      <c r="N270" s="2" t="str">
        <f>IF(Table1[Quantity] &gt; 2, "Bulk Order", "Standard Order")</f>
        <v>Bulk Order</v>
      </c>
    </row>
    <row r="271" ht="15.75" customHeight="1">
      <c r="A271" s="2" t="s">
        <v>782</v>
      </c>
      <c r="B271" s="3">
        <v>45728.0</v>
      </c>
      <c r="C271" s="2" t="s">
        <v>783</v>
      </c>
      <c r="D271" s="2" t="s">
        <v>784</v>
      </c>
      <c r="E271" s="2">
        <v>59.0</v>
      </c>
      <c r="F271" s="2" t="s">
        <v>29</v>
      </c>
      <c r="G271" s="2" t="s">
        <v>727</v>
      </c>
      <c r="H271" s="2" t="s">
        <v>64</v>
      </c>
      <c r="I271" s="2" t="s">
        <v>44</v>
      </c>
      <c r="J271" s="2">
        <v>1.0</v>
      </c>
      <c r="K271" s="4">
        <v>20740.93</v>
      </c>
      <c r="L271" s="5">
        <v>20740.93</v>
      </c>
      <c r="N271" s="2" t="str">
        <f>IF(Table1[Quantity] &gt; 2, "Bulk Order", "Standard Order")</f>
        <v>Standard Order</v>
      </c>
    </row>
    <row r="272" ht="15.75" customHeight="1">
      <c r="A272" s="2" t="s">
        <v>785</v>
      </c>
      <c r="B272" s="3">
        <v>45696.0</v>
      </c>
      <c r="C272" s="2" t="s">
        <v>786</v>
      </c>
      <c r="D272" s="2" t="s">
        <v>492</v>
      </c>
      <c r="E272" s="2">
        <v>53.0</v>
      </c>
      <c r="F272" s="2" t="s">
        <v>37</v>
      </c>
      <c r="G272" s="2" t="s">
        <v>727</v>
      </c>
      <c r="H272" s="2" t="s">
        <v>60</v>
      </c>
      <c r="I272" s="2" t="s">
        <v>43</v>
      </c>
      <c r="J272" s="2">
        <v>9.0</v>
      </c>
      <c r="K272" s="4">
        <v>48833.27</v>
      </c>
      <c r="L272" s="5">
        <v>439499.43</v>
      </c>
      <c r="N272" s="2" t="str">
        <f>IF(Table1[Quantity] &gt; 2, "Bulk Order", "Standard Order")</f>
        <v>Bulk Order</v>
      </c>
    </row>
    <row r="273" ht="15.75" customHeight="1">
      <c r="A273" s="2" t="s">
        <v>787</v>
      </c>
      <c r="B273" s="3">
        <v>45900.0</v>
      </c>
      <c r="C273" s="2" t="s">
        <v>788</v>
      </c>
      <c r="D273" s="2" t="s">
        <v>507</v>
      </c>
      <c r="E273" s="2">
        <v>36.0</v>
      </c>
      <c r="F273" s="2" t="s">
        <v>37</v>
      </c>
      <c r="G273" s="2" t="s">
        <v>727</v>
      </c>
      <c r="H273" s="2" t="s">
        <v>56</v>
      </c>
      <c r="I273" s="2" t="s">
        <v>43</v>
      </c>
      <c r="J273" s="2">
        <v>2.0</v>
      </c>
      <c r="K273" s="4">
        <v>40810.01</v>
      </c>
      <c r="L273" s="5">
        <v>81620.02</v>
      </c>
      <c r="N273" s="2" t="str">
        <f>IF(Table1[Quantity] &gt; 2, "Bulk Order", "Standard Order")</f>
        <v>Standard Order</v>
      </c>
    </row>
    <row r="274" ht="15.75" customHeight="1">
      <c r="A274" s="2" t="s">
        <v>789</v>
      </c>
      <c r="B274" s="3">
        <v>45755.0</v>
      </c>
      <c r="C274" s="2" t="s">
        <v>790</v>
      </c>
      <c r="D274" s="2" t="s">
        <v>791</v>
      </c>
      <c r="E274" s="2">
        <v>35.0</v>
      </c>
      <c r="F274" s="2" t="s">
        <v>37</v>
      </c>
      <c r="G274" s="2" t="s">
        <v>727</v>
      </c>
      <c r="H274" s="2" t="s">
        <v>31</v>
      </c>
      <c r="I274" s="2" t="s">
        <v>32</v>
      </c>
      <c r="J274" s="2">
        <v>9.0</v>
      </c>
      <c r="K274" s="4">
        <v>26781.39</v>
      </c>
      <c r="L274" s="5">
        <v>241032.51</v>
      </c>
      <c r="N274" s="2" t="str">
        <f>IF(Table1[Quantity] &gt; 2, "Bulk Order", "Standard Order")</f>
        <v>Bulk Order</v>
      </c>
    </row>
    <row r="275" ht="15.75" customHeight="1">
      <c r="A275" s="2" t="s">
        <v>792</v>
      </c>
      <c r="B275" s="3">
        <v>45839.0</v>
      </c>
      <c r="C275" s="2" t="s">
        <v>793</v>
      </c>
      <c r="D275" s="2" t="s">
        <v>794</v>
      </c>
      <c r="E275" s="2">
        <v>44.0</v>
      </c>
      <c r="F275" s="2" t="s">
        <v>37</v>
      </c>
      <c r="G275" s="2" t="s">
        <v>727</v>
      </c>
      <c r="H275" s="2" t="s">
        <v>56</v>
      </c>
      <c r="I275" s="2" t="s">
        <v>43</v>
      </c>
      <c r="J275" s="2">
        <v>3.0</v>
      </c>
      <c r="K275" s="4">
        <v>34033.11</v>
      </c>
      <c r="L275" s="5">
        <v>102099.33</v>
      </c>
      <c r="N275" s="2" t="str">
        <f>IF(Table1[Quantity] &gt; 2, "Bulk Order", "Standard Order")</f>
        <v>Bulk Order</v>
      </c>
    </row>
    <row r="276" ht="15.75" customHeight="1">
      <c r="A276" s="2" t="s">
        <v>795</v>
      </c>
      <c r="B276" s="3">
        <v>45683.0</v>
      </c>
      <c r="C276" s="2" t="s">
        <v>796</v>
      </c>
      <c r="D276" s="2" t="s">
        <v>797</v>
      </c>
      <c r="E276" s="2">
        <v>35.0</v>
      </c>
      <c r="F276" s="2" t="s">
        <v>37</v>
      </c>
      <c r="G276" s="2" t="s">
        <v>727</v>
      </c>
      <c r="H276" s="2" t="s">
        <v>74</v>
      </c>
      <c r="I276" s="2" t="s">
        <v>45</v>
      </c>
      <c r="J276" s="2">
        <v>7.0</v>
      </c>
      <c r="K276" s="4">
        <v>1481.0</v>
      </c>
      <c r="L276" s="5">
        <v>10367.0</v>
      </c>
      <c r="N276" s="2" t="str">
        <f>IF(Table1[Quantity] &gt; 2, "Bulk Order", "Standard Order")</f>
        <v>Bulk Order</v>
      </c>
    </row>
    <row r="277" ht="15.75" customHeight="1">
      <c r="A277" s="2" t="s">
        <v>798</v>
      </c>
      <c r="B277" s="3">
        <v>45724.0</v>
      </c>
      <c r="C277" s="2" t="s">
        <v>799</v>
      </c>
      <c r="D277" s="2" t="s">
        <v>800</v>
      </c>
      <c r="E277" s="2">
        <v>44.0</v>
      </c>
      <c r="F277" s="2" t="s">
        <v>37</v>
      </c>
      <c r="G277" s="2" t="s">
        <v>727</v>
      </c>
      <c r="H277" s="2" t="s">
        <v>74</v>
      </c>
      <c r="I277" s="2" t="s">
        <v>45</v>
      </c>
      <c r="J277" s="2">
        <v>3.0</v>
      </c>
      <c r="K277" s="4">
        <v>8820.55</v>
      </c>
      <c r="L277" s="5">
        <v>26461.65</v>
      </c>
      <c r="N277" s="2" t="str">
        <f>IF(Table1[Quantity] &gt; 2, "Bulk Order", "Standard Order")</f>
        <v>Bulk Order</v>
      </c>
    </row>
    <row r="278" ht="15.75" customHeight="1">
      <c r="A278" s="2" t="s">
        <v>801</v>
      </c>
      <c r="B278" s="3">
        <v>45790.0</v>
      </c>
      <c r="C278" s="2" t="s">
        <v>802</v>
      </c>
      <c r="D278" s="2" t="s">
        <v>322</v>
      </c>
      <c r="E278" s="2">
        <v>60.0</v>
      </c>
      <c r="F278" s="2" t="s">
        <v>29</v>
      </c>
      <c r="G278" s="2" t="s">
        <v>727</v>
      </c>
      <c r="H278" s="2" t="s">
        <v>60</v>
      </c>
      <c r="I278" s="2" t="s">
        <v>43</v>
      </c>
      <c r="J278" s="2">
        <v>1.0</v>
      </c>
      <c r="K278" s="4">
        <v>21001.73</v>
      </c>
      <c r="L278" s="5">
        <v>21001.73</v>
      </c>
      <c r="N278" s="2" t="str">
        <f>IF(Table1[Quantity] &gt; 2, "Bulk Order", "Standard Order")</f>
        <v>Standard Order</v>
      </c>
    </row>
    <row r="279" ht="15.75" customHeight="1">
      <c r="A279" s="2" t="s">
        <v>803</v>
      </c>
      <c r="B279" s="3">
        <v>45899.0</v>
      </c>
      <c r="C279" s="2" t="s">
        <v>804</v>
      </c>
      <c r="D279" s="2" t="s">
        <v>252</v>
      </c>
      <c r="E279" s="2">
        <v>45.0</v>
      </c>
      <c r="F279" s="2" t="s">
        <v>37</v>
      </c>
      <c r="G279" s="2" t="s">
        <v>727</v>
      </c>
      <c r="H279" s="2" t="s">
        <v>31</v>
      </c>
      <c r="I279" s="2" t="s">
        <v>32</v>
      </c>
      <c r="J279" s="2">
        <v>4.0</v>
      </c>
      <c r="K279" s="4">
        <v>46356.08</v>
      </c>
      <c r="L279" s="5">
        <v>185424.32</v>
      </c>
      <c r="N279" s="2" t="str">
        <f>IF(Table1[Quantity] &gt; 2, "Bulk Order", "Standard Order")</f>
        <v>Bulk Order</v>
      </c>
    </row>
    <row r="280" ht="15.75" customHeight="1">
      <c r="A280" s="2" t="s">
        <v>805</v>
      </c>
      <c r="B280" s="3">
        <v>45758.0</v>
      </c>
      <c r="C280" s="2" t="s">
        <v>806</v>
      </c>
      <c r="D280" s="2" t="s">
        <v>807</v>
      </c>
      <c r="E280" s="2">
        <v>61.0</v>
      </c>
      <c r="F280" s="2" t="s">
        <v>37</v>
      </c>
      <c r="G280" s="2" t="s">
        <v>727</v>
      </c>
      <c r="H280" s="2" t="s">
        <v>74</v>
      </c>
      <c r="I280" s="2" t="s">
        <v>45</v>
      </c>
      <c r="J280" s="2">
        <v>4.0</v>
      </c>
      <c r="K280" s="4">
        <v>5518.32</v>
      </c>
      <c r="L280" s="5">
        <v>22073.28</v>
      </c>
      <c r="N280" s="2" t="str">
        <f>IF(Table1[Quantity] &gt; 2, "Bulk Order", "Standard Order")</f>
        <v>Bulk Order</v>
      </c>
    </row>
    <row r="281" ht="15.75" customHeight="1">
      <c r="A281" s="2" t="s">
        <v>808</v>
      </c>
      <c r="B281" s="3">
        <v>45847.0</v>
      </c>
      <c r="C281" s="2" t="s">
        <v>809</v>
      </c>
      <c r="D281" s="2" t="s">
        <v>297</v>
      </c>
      <c r="E281" s="2">
        <v>23.0</v>
      </c>
      <c r="F281" s="2" t="s">
        <v>37</v>
      </c>
      <c r="G281" s="2" t="s">
        <v>727</v>
      </c>
      <c r="H281" s="2" t="s">
        <v>74</v>
      </c>
      <c r="I281" s="2" t="s">
        <v>45</v>
      </c>
      <c r="J281" s="2">
        <v>5.0</v>
      </c>
      <c r="K281" s="4">
        <v>17292.4</v>
      </c>
      <c r="L281" s="5">
        <v>86462.0</v>
      </c>
      <c r="N281" s="2" t="str">
        <f>IF(Table1[Quantity] &gt; 2, "Bulk Order", "Standard Order")</f>
        <v>Bulk Order</v>
      </c>
    </row>
    <row r="282" ht="15.75" customHeight="1">
      <c r="A282" s="2" t="s">
        <v>810</v>
      </c>
      <c r="B282" s="3">
        <v>45987.0</v>
      </c>
      <c r="C282" s="2" t="s">
        <v>811</v>
      </c>
      <c r="D282" s="2" t="s">
        <v>812</v>
      </c>
      <c r="E282" s="2">
        <v>40.0</v>
      </c>
      <c r="F282" s="2" t="s">
        <v>29</v>
      </c>
      <c r="G282" s="2" t="s">
        <v>727</v>
      </c>
      <c r="H282" s="2" t="s">
        <v>31</v>
      </c>
      <c r="I282" s="2" t="s">
        <v>32</v>
      </c>
      <c r="J282" s="2">
        <v>8.0</v>
      </c>
      <c r="K282" s="4">
        <v>6459.95</v>
      </c>
      <c r="L282" s="5">
        <v>51679.6</v>
      </c>
      <c r="N282" s="2" t="str">
        <f>IF(Table1[Quantity] &gt; 2, "Bulk Order", "Standard Order")</f>
        <v>Bulk Order</v>
      </c>
    </row>
    <row r="283" ht="15.75" customHeight="1">
      <c r="A283" s="2" t="s">
        <v>813</v>
      </c>
      <c r="B283" s="3">
        <v>45930.0</v>
      </c>
      <c r="C283" s="2" t="s">
        <v>814</v>
      </c>
      <c r="D283" s="2" t="s">
        <v>815</v>
      </c>
      <c r="E283" s="2">
        <v>54.0</v>
      </c>
      <c r="F283" s="2" t="s">
        <v>37</v>
      </c>
      <c r="G283" s="2" t="s">
        <v>727</v>
      </c>
      <c r="H283" s="2" t="s">
        <v>56</v>
      </c>
      <c r="I283" s="2" t="s">
        <v>43</v>
      </c>
      <c r="J283" s="2">
        <v>4.0</v>
      </c>
      <c r="K283" s="4">
        <v>46629.93</v>
      </c>
      <c r="L283" s="5">
        <v>186519.72</v>
      </c>
      <c r="N283" s="2" t="str">
        <f>IF(Table1[Quantity] &gt; 2, "Bulk Order", "Standard Order")</f>
        <v>Bulk Order</v>
      </c>
    </row>
    <row r="284" ht="15.75" customHeight="1">
      <c r="A284" s="2" t="s">
        <v>816</v>
      </c>
      <c r="B284" s="3">
        <v>45708.0</v>
      </c>
      <c r="C284" s="2" t="s">
        <v>817</v>
      </c>
      <c r="D284" s="2" t="s">
        <v>458</v>
      </c>
      <c r="E284" s="2">
        <v>23.0</v>
      </c>
      <c r="F284" s="2" t="s">
        <v>37</v>
      </c>
      <c r="G284" s="2" t="s">
        <v>727</v>
      </c>
      <c r="H284" s="2" t="s">
        <v>31</v>
      </c>
      <c r="I284" s="2" t="s">
        <v>32</v>
      </c>
      <c r="J284" s="2">
        <v>6.0</v>
      </c>
      <c r="K284" s="4">
        <v>13138.1</v>
      </c>
      <c r="L284" s="5">
        <v>78828.6</v>
      </c>
      <c r="N284" s="2" t="str">
        <f>IF(Table1[Quantity] &gt; 2, "Bulk Order", "Standard Order")</f>
        <v>Bulk Order</v>
      </c>
    </row>
    <row r="285" ht="15.75" customHeight="1">
      <c r="A285" s="2" t="s">
        <v>818</v>
      </c>
      <c r="B285" s="3">
        <v>45844.0</v>
      </c>
      <c r="C285" s="2" t="s">
        <v>819</v>
      </c>
      <c r="D285" s="2" t="s">
        <v>319</v>
      </c>
      <c r="E285" s="2">
        <v>20.0</v>
      </c>
      <c r="F285" s="2" t="s">
        <v>29</v>
      </c>
      <c r="G285" s="2" t="s">
        <v>727</v>
      </c>
      <c r="H285" s="2" t="s">
        <v>74</v>
      </c>
      <c r="I285" s="2" t="s">
        <v>45</v>
      </c>
      <c r="J285" s="2">
        <v>7.0</v>
      </c>
      <c r="K285" s="4">
        <v>7046.4</v>
      </c>
      <c r="L285" s="5">
        <v>49324.8</v>
      </c>
      <c r="N285" s="2" t="str">
        <f>IF(Table1[Quantity] &gt; 2, "Bulk Order", "Standard Order")</f>
        <v>Bulk Order</v>
      </c>
    </row>
    <row r="286" ht="15.75" customHeight="1">
      <c r="A286" s="2" t="s">
        <v>820</v>
      </c>
      <c r="B286" s="3">
        <v>45746.0</v>
      </c>
      <c r="C286" s="2" t="s">
        <v>821</v>
      </c>
      <c r="D286" s="2" t="s">
        <v>822</v>
      </c>
      <c r="E286" s="2">
        <v>47.0</v>
      </c>
      <c r="F286" s="2" t="s">
        <v>37</v>
      </c>
      <c r="G286" s="2" t="s">
        <v>727</v>
      </c>
      <c r="H286" s="2" t="s">
        <v>31</v>
      </c>
      <c r="I286" s="2" t="s">
        <v>32</v>
      </c>
      <c r="J286" s="2">
        <v>5.0</v>
      </c>
      <c r="K286" s="4">
        <v>27900.36</v>
      </c>
      <c r="L286" s="5">
        <v>139501.8</v>
      </c>
      <c r="N286" s="2" t="str">
        <f>IF(Table1[Quantity] &gt; 2, "Bulk Order", "Standard Order")</f>
        <v>Bulk Order</v>
      </c>
    </row>
    <row r="287" ht="15.75" customHeight="1">
      <c r="A287" s="2" t="s">
        <v>823</v>
      </c>
      <c r="B287" s="3">
        <v>45778.0</v>
      </c>
      <c r="C287" s="2" t="s">
        <v>165</v>
      </c>
      <c r="D287" s="2" t="s">
        <v>824</v>
      </c>
      <c r="E287" s="2">
        <v>56.0</v>
      </c>
      <c r="F287" s="2" t="s">
        <v>29</v>
      </c>
      <c r="G287" s="2" t="s">
        <v>727</v>
      </c>
      <c r="H287" s="2" t="s">
        <v>56</v>
      </c>
      <c r="I287" s="2" t="s">
        <v>43</v>
      </c>
      <c r="J287" s="2">
        <v>6.0</v>
      </c>
      <c r="K287" s="4">
        <v>12740.73</v>
      </c>
      <c r="L287" s="5">
        <v>76444.38</v>
      </c>
      <c r="N287" s="2" t="str">
        <f>IF(Table1[Quantity] &gt; 2, "Bulk Order", "Standard Order")</f>
        <v>Bulk Order</v>
      </c>
    </row>
    <row r="288" ht="15.75" customHeight="1">
      <c r="A288" s="2" t="s">
        <v>825</v>
      </c>
      <c r="B288" s="3">
        <v>45950.0</v>
      </c>
      <c r="C288" s="2" t="s">
        <v>826</v>
      </c>
      <c r="D288" s="2" t="s">
        <v>579</v>
      </c>
      <c r="E288" s="2">
        <v>29.0</v>
      </c>
      <c r="F288" s="2" t="s">
        <v>37</v>
      </c>
      <c r="G288" s="2" t="s">
        <v>727</v>
      </c>
      <c r="H288" s="2" t="s">
        <v>31</v>
      </c>
      <c r="I288" s="2" t="s">
        <v>32</v>
      </c>
      <c r="J288" s="2">
        <v>5.0</v>
      </c>
      <c r="K288" s="4">
        <v>19538.67</v>
      </c>
      <c r="L288" s="5">
        <v>97693.35</v>
      </c>
      <c r="N288" s="2" t="str">
        <f>IF(Table1[Quantity] &gt; 2, "Bulk Order", "Standard Order")</f>
        <v>Bulk Order</v>
      </c>
    </row>
    <row r="289" ht="15.75" customHeight="1">
      <c r="A289" s="2" t="s">
        <v>827</v>
      </c>
      <c r="B289" s="3">
        <v>45853.0</v>
      </c>
      <c r="C289" s="2" t="s">
        <v>828</v>
      </c>
      <c r="D289" s="2" t="s">
        <v>829</v>
      </c>
      <c r="E289" s="2">
        <v>28.0</v>
      </c>
      <c r="F289" s="2" t="s">
        <v>37</v>
      </c>
      <c r="G289" s="2" t="s">
        <v>727</v>
      </c>
      <c r="H289" s="2" t="s">
        <v>60</v>
      </c>
      <c r="I289" s="2" t="s">
        <v>43</v>
      </c>
      <c r="J289" s="2">
        <v>6.0</v>
      </c>
      <c r="K289" s="4">
        <v>14400.18</v>
      </c>
      <c r="L289" s="5">
        <v>86401.08</v>
      </c>
      <c r="N289" s="2" t="str">
        <f>IF(Table1[Quantity] &gt; 2, "Bulk Order", "Standard Order")</f>
        <v>Bulk Order</v>
      </c>
    </row>
    <row r="290" ht="15.75" customHeight="1">
      <c r="A290" s="2" t="s">
        <v>830</v>
      </c>
      <c r="B290" s="3">
        <v>46021.0</v>
      </c>
      <c r="C290" s="2" t="s">
        <v>831</v>
      </c>
      <c r="D290" s="2" t="s">
        <v>83</v>
      </c>
      <c r="E290" s="2">
        <v>61.0</v>
      </c>
      <c r="F290" s="2" t="s">
        <v>29</v>
      </c>
      <c r="G290" s="2" t="s">
        <v>727</v>
      </c>
      <c r="H290" s="2" t="s">
        <v>64</v>
      </c>
      <c r="I290" s="2" t="s">
        <v>44</v>
      </c>
      <c r="J290" s="2">
        <v>1.0</v>
      </c>
      <c r="K290" s="4">
        <v>44751.42</v>
      </c>
      <c r="L290" s="5">
        <v>44751.42</v>
      </c>
      <c r="N290" s="2" t="str">
        <f>IF(Table1[Quantity] &gt; 2, "Bulk Order", "Standard Order")</f>
        <v>Standard Order</v>
      </c>
    </row>
    <row r="291" ht="15.75" customHeight="1">
      <c r="A291" s="2" t="s">
        <v>832</v>
      </c>
      <c r="B291" s="3">
        <v>45907.0</v>
      </c>
      <c r="C291" s="2" t="s">
        <v>833</v>
      </c>
      <c r="D291" s="2" t="s">
        <v>834</v>
      </c>
      <c r="E291" s="2">
        <v>43.0</v>
      </c>
      <c r="F291" s="2" t="s">
        <v>29</v>
      </c>
      <c r="G291" s="2" t="s">
        <v>727</v>
      </c>
      <c r="H291" s="2" t="s">
        <v>64</v>
      </c>
      <c r="I291" s="2" t="s">
        <v>44</v>
      </c>
      <c r="J291" s="2">
        <v>8.0</v>
      </c>
      <c r="K291" s="4">
        <v>46122.45</v>
      </c>
      <c r="L291" s="5">
        <v>368979.6</v>
      </c>
      <c r="N291" s="2" t="str">
        <f>IF(Table1[Quantity] &gt; 2, "Bulk Order", "Standard Order")</f>
        <v>Bulk Order</v>
      </c>
    </row>
    <row r="292" ht="15.75" customHeight="1">
      <c r="A292" s="2" t="s">
        <v>835</v>
      </c>
      <c r="B292" s="3">
        <v>45700.0</v>
      </c>
      <c r="C292" s="2" t="s">
        <v>836</v>
      </c>
      <c r="D292" s="2" t="s">
        <v>837</v>
      </c>
      <c r="E292" s="2">
        <v>35.0</v>
      </c>
      <c r="F292" s="2" t="s">
        <v>29</v>
      </c>
      <c r="G292" s="2" t="s">
        <v>727</v>
      </c>
      <c r="H292" s="2" t="s">
        <v>42</v>
      </c>
      <c r="I292" s="2" t="s">
        <v>41</v>
      </c>
      <c r="J292" s="2">
        <v>5.0</v>
      </c>
      <c r="K292" s="4">
        <v>11761.9</v>
      </c>
      <c r="L292" s="5">
        <v>58809.5</v>
      </c>
      <c r="N292" s="2" t="str">
        <f>IF(Table1[Quantity] &gt; 2, "Bulk Order", "Standard Order")</f>
        <v>Bulk Order</v>
      </c>
    </row>
    <row r="293" ht="15.75" customHeight="1">
      <c r="A293" s="2" t="s">
        <v>838</v>
      </c>
      <c r="B293" s="3">
        <v>45710.0</v>
      </c>
      <c r="C293" s="2" t="s">
        <v>839</v>
      </c>
      <c r="D293" s="2" t="s">
        <v>840</v>
      </c>
      <c r="E293" s="2">
        <v>25.0</v>
      </c>
      <c r="F293" s="2" t="s">
        <v>29</v>
      </c>
      <c r="G293" s="2" t="s">
        <v>727</v>
      </c>
      <c r="H293" s="2" t="s">
        <v>42</v>
      </c>
      <c r="I293" s="2" t="s">
        <v>41</v>
      </c>
      <c r="J293" s="2">
        <v>7.0</v>
      </c>
      <c r="K293" s="4">
        <v>43850.91</v>
      </c>
      <c r="L293" s="5">
        <v>306956.37</v>
      </c>
      <c r="N293" s="2" t="str">
        <f>IF(Table1[Quantity] &gt; 2, "Bulk Order", "Standard Order")</f>
        <v>Bulk Order</v>
      </c>
    </row>
    <row r="294" ht="15.75" customHeight="1">
      <c r="A294" s="2" t="s">
        <v>841</v>
      </c>
      <c r="B294" s="3">
        <v>45673.0</v>
      </c>
      <c r="C294" s="2" t="s">
        <v>842</v>
      </c>
      <c r="D294" s="2" t="s">
        <v>843</v>
      </c>
      <c r="E294" s="2">
        <v>46.0</v>
      </c>
      <c r="F294" s="2" t="s">
        <v>29</v>
      </c>
      <c r="G294" s="2" t="s">
        <v>727</v>
      </c>
      <c r="H294" s="2" t="s">
        <v>56</v>
      </c>
      <c r="I294" s="2" t="s">
        <v>43</v>
      </c>
      <c r="J294" s="2">
        <v>6.0</v>
      </c>
      <c r="K294" s="4">
        <v>31722.52</v>
      </c>
      <c r="L294" s="5">
        <v>190335.12</v>
      </c>
      <c r="N294" s="2" t="str">
        <f>IF(Table1[Quantity] &gt; 2, "Bulk Order", "Standard Order")</f>
        <v>Bulk Order</v>
      </c>
    </row>
    <row r="295" ht="15.75" customHeight="1">
      <c r="A295" s="2" t="s">
        <v>844</v>
      </c>
      <c r="B295" s="3">
        <v>45838.0</v>
      </c>
      <c r="C295" s="2" t="s">
        <v>845</v>
      </c>
      <c r="D295" s="2" t="s">
        <v>846</v>
      </c>
      <c r="E295" s="2">
        <v>62.0</v>
      </c>
      <c r="F295" s="2" t="s">
        <v>29</v>
      </c>
      <c r="G295" s="2" t="s">
        <v>727</v>
      </c>
      <c r="H295" s="2" t="s">
        <v>31</v>
      </c>
      <c r="I295" s="2" t="s">
        <v>32</v>
      </c>
      <c r="J295" s="2">
        <v>3.0</v>
      </c>
      <c r="K295" s="4">
        <v>24990.09</v>
      </c>
      <c r="L295" s="5">
        <v>74970.27</v>
      </c>
      <c r="N295" s="2" t="str">
        <f>IF(Table1[Quantity] &gt; 2, "Bulk Order", "Standard Order")</f>
        <v>Bulk Order</v>
      </c>
    </row>
    <row r="296" ht="15.75" customHeight="1">
      <c r="A296" s="2" t="s">
        <v>847</v>
      </c>
      <c r="B296" s="3">
        <v>45750.0</v>
      </c>
      <c r="C296" s="2" t="s">
        <v>848</v>
      </c>
      <c r="D296" s="2" t="s">
        <v>849</v>
      </c>
      <c r="E296" s="2">
        <v>58.0</v>
      </c>
      <c r="F296" s="2" t="s">
        <v>37</v>
      </c>
      <c r="G296" s="2" t="s">
        <v>727</v>
      </c>
      <c r="H296" s="2" t="s">
        <v>56</v>
      </c>
      <c r="I296" s="2" t="s">
        <v>43</v>
      </c>
      <c r="J296" s="2">
        <v>9.0</v>
      </c>
      <c r="K296" s="4">
        <v>37176.15</v>
      </c>
      <c r="L296" s="5">
        <v>334585.35</v>
      </c>
      <c r="N296" s="2" t="str">
        <f>IF(Table1[Quantity] &gt; 2, "Bulk Order", "Standard Order")</f>
        <v>Bulk Order</v>
      </c>
    </row>
    <row r="297" ht="15.75" customHeight="1">
      <c r="A297" s="2" t="s">
        <v>850</v>
      </c>
      <c r="B297" s="3">
        <v>45829.0</v>
      </c>
      <c r="C297" s="2" t="s">
        <v>851</v>
      </c>
      <c r="D297" s="2" t="s">
        <v>624</v>
      </c>
      <c r="E297" s="2">
        <v>65.0</v>
      </c>
      <c r="F297" s="2" t="s">
        <v>29</v>
      </c>
      <c r="G297" s="2" t="s">
        <v>727</v>
      </c>
      <c r="H297" s="2" t="s">
        <v>60</v>
      </c>
      <c r="I297" s="2" t="s">
        <v>43</v>
      </c>
      <c r="J297" s="2">
        <v>8.0</v>
      </c>
      <c r="K297" s="4">
        <v>23432.88</v>
      </c>
      <c r="L297" s="5">
        <v>187463.04</v>
      </c>
      <c r="N297" s="2" t="str">
        <f>IF(Table1[Quantity] &gt; 2, "Bulk Order", "Standard Order")</f>
        <v>Bulk Order</v>
      </c>
    </row>
    <row r="298" ht="15.75" customHeight="1">
      <c r="A298" s="2" t="s">
        <v>852</v>
      </c>
      <c r="B298" s="3">
        <v>45808.0</v>
      </c>
      <c r="C298" s="2" t="s">
        <v>853</v>
      </c>
      <c r="D298" s="2" t="s">
        <v>854</v>
      </c>
      <c r="E298" s="2">
        <v>32.0</v>
      </c>
      <c r="F298" s="2" t="s">
        <v>29</v>
      </c>
      <c r="G298" s="2" t="s">
        <v>727</v>
      </c>
      <c r="H298" s="2" t="s">
        <v>60</v>
      </c>
      <c r="I298" s="2" t="s">
        <v>43</v>
      </c>
      <c r="J298" s="2">
        <v>3.0</v>
      </c>
      <c r="K298" s="4">
        <v>29297.53</v>
      </c>
      <c r="L298" s="5">
        <v>87892.59</v>
      </c>
      <c r="N298" s="2" t="str">
        <f>IF(Table1[Quantity] &gt; 2, "Bulk Order", "Standard Order")</f>
        <v>Bulk Order</v>
      </c>
    </row>
    <row r="299" ht="15.75" customHeight="1">
      <c r="A299" s="2" t="s">
        <v>855</v>
      </c>
      <c r="B299" s="3">
        <v>45805.0</v>
      </c>
      <c r="C299" s="2" t="s">
        <v>856</v>
      </c>
      <c r="D299" s="2" t="s">
        <v>730</v>
      </c>
      <c r="E299" s="2">
        <v>33.0</v>
      </c>
      <c r="F299" s="2" t="s">
        <v>29</v>
      </c>
      <c r="G299" s="2" t="s">
        <v>727</v>
      </c>
      <c r="H299" s="2" t="s">
        <v>56</v>
      </c>
      <c r="I299" s="2" t="s">
        <v>43</v>
      </c>
      <c r="J299" s="2">
        <v>1.0</v>
      </c>
      <c r="K299" s="4">
        <v>1229.02</v>
      </c>
      <c r="L299" s="5">
        <v>1229.02</v>
      </c>
      <c r="N299" s="2" t="str">
        <f>IF(Table1[Quantity] &gt; 2, "Bulk Order", "Standard Order")</f>
        <v>Standard Order</v>
      </c>
    </row>
    <row r="300" ht="15.75" customHeight="1">
      <c r="A300" s="2" t="s">
        <v>857</v>
      </c>
      <c r="B300" s="3">
        <v>45803.0</v>
      </c>
      <c r="C300" s="2" t="s">
        <v>858</v>
      </c>
      <c r="D300" s="2" t="s">
        <v>859</v>
      </c>
      <c r="E300" s="2">
        <v>49.0</v>
      </c>
      <c r="F300" s="2" t="s">
        <v>29</v>
      </c>
      <c r="G300" s="2" t="s">
        <v>727</v>
      </c>
      <c r="H300" s="2" t="s">
        <v>64</v>
      </c>
      <c r="I300" s="2" t="s">
        <v>44</v>
      </c>
      <c r="J300" s="2">
        <v>2.0</v>
      </c>
      <c r="K300" s="4">
        <v>5988.17</v>
      </c>
      <c r="L300" s="5">
        <v>11976.34</v>
      </c>
      <c r="N300" s="2" t="str">
        <f>IF(Table1[Quantity] &gt; 2, "Bulk Order", "Standard Order")</f>
        <v>Standard Order</v>
      </c>
    </row>
    <row r="301" ht="15.75" customHeight="1">
      <c r="A301" s="2" t="s">
        <v>860</v>
      </c>
      <c r="B301" s="3">
        <v>45716.0</v>
      </c>
      <c r="C301" s="2" t="s">
        <v>861</v>
      </c>
      <c r="D301" s="2" t="s">
        <v>862</v>
      </c>
      <c r="E301" s="2">
        <v>49.0</v>
      </c>
      <c r="F301" s="2" t="s">
        <v>37</v>
      </c>
      <c r="G301" s="2" t="s">
        <v>727</v>
      </c>
      <c r="H301" s="2" t="s">
        <v>56</v>
      </c>
      <c r="I301" s="2" t="s">
        <v>43</v>
      </c>
      <c r="J301" s="2">
        <v>9.0</v>
      </c>
      <c r="K301" s="4">
        <v>19415.21</v>
      </c>
      <c r="L301" s="5">
        <v>174736.89</v>
      </c>
      <c r="N301" s="2" t="str">
        <f>IF(Table1[Quantity] &gt; 2, "Bulk Order", "Standard Order")</f>
        <v>Bulk Order</v>
      </c>
    </row>
    <row r="302" ht="15.75" customHeight="1">
      <c r="A302" s="2" t="s">
        <v>863</v>
      </c>
      <c r="B302" s="3">
        <v>45696.0</v>
      </c>
      <c r="C302" s="2" t="s">
        <v>864</v>
      </c>
      <c r="D302" s="2" t="s">
        <v>865</v>
      </c>
      <c r="E302" s="2">
        <v>45.0</v>
      </c>
      <c r="F302" s="2" t="s">
        <v>29</v>
      </c>
      <c r="G302" s="2" t="s">
        <v>727</v>
      </c>
      <c r="H302" s="2" t="s">
        <v>64</v>
      </c>
      <c r="I302" s="2" t="s">
        <v>44</v>
      </c>
      <c r="J302" s="2">
        <v>4.0</v>
      </c>
      <c r="K302" s="4">
        <v>8654.13</v>
      </c>
      <c r="L302" s="5">
        <v>34616.52</v>
      </c>
      <c r="N302" s="2" t="str">
        <f>IF(Table1[Quantity] &gt; 2, "Bulk Order", "Standard Order")</f>
        <v>Bulk Order</v>
      </c>
    </row>
    <row r="303" ht="15.75" customHeight="1">
      <c r="A303" s="2" t="s">
        <v>866</v>
      </c>
      <c r="B303" s="3">
        <v>45690.0</v>
      </c>
      <c r="C303" s="2" t="s">
        <v>867</v>
      </c>
      <c r="D303" s="2" t="s">
        <v>868</v>
      </c>
      <c r="E303" s="2">
        <v>30.0</v>
      </c>
      <c r="F303" s="2" t="s">
        <v>29</v>
      </c>
      <c r="G303" s="2" t="s">
        <v>727</v>
      </c>
      <c r="H303" s="2" t="s">
        <v>60</v>
      </c>
      <c r="I303" s="2" t="s">
        <v>43</v>
      </c>
      <c r="J303" s="2">
        <v>5.0</v>
      </c>
      <c r="K303" s="4">
        <v>26337.15</v>
      </c>
      <c r="L303" s="5">
        <v>131685.75</v>
      </c>
      <c r="N303" s="2" t="str">
        <f>IF(Table1[Quantity] &gt; 2, "Bulk Order", "Standard Order")</f>
        <v>Bulk Order</v>
      </c>
    </row>
    <row r="304" ht="15.75" customHeight="1">
      <c r="A304" s="2" t="s">
        <v>869</v>
      </c>
      <c r="B304" s="3">
        <v>45679.0</v>
      </c>
      <c r="C304" s="2" t="s">
        <v>870</v>
      </c>
      <c r="D304" s="2" t="s">
        <v>871</v>
      </c>
      <c r="E304" s="2">
        <v>27.0</v>
      </c>
      <c r="F304" s="2" t="s">
        <v>37</v>
      </c>
      <c r="G304" s="2" t="s">
        <v>727</v>
      </c>
      <c r="H304" s="2" t="s">
        <v>64</v>
      </c>
      <c r="I304" s="2" t="s">
        <v>44</v>
      </c>
      <c r="J304" s="2">
        <v>7.0</v>
      </c>
      <c r="K304" s="4">
        <v>32289.77</v>
      </c>
      <c r="L304" s="5">
        <v>226028.39</v>
      </c>
      <c r="N304" s="2" t="str">
        <f>IF(Table1[Quantity] &gt; 2, "Bulk Order", "Standard Order")</f>
        <v>Bulk Order</v>
      </c>
    </row>
    <row r="305" ht="15.75" customHeight="1">
      <c r="A305" s="2" t="s">
        <v>872</v>
      </c>
      <c r="B305" s="3">
        <v>45782.0</v>
      </c>
      <c r="C305" s="2" t="s">
        <v>873</v>
      </c>
      <c r="D305" s="2" t="s">
        <v>874</v>
      </c>
      <c r="E305" s="2">
        <v>51.0</v>
      </c>
      <c r="F305" s="2" t="s">
        <v>37</v>
      </c>
      <c r="G305" s="2" t="s">
        <v>727</v>
      </c>
      <c r="H305" s="2" t="s">
        <v>64</v>
      </c>
      <c r="I305" s="2" t="s">
        <v>44</v>
      </c>
      <c r="J305" s="2">
        <v>6.0</v>
      </c>
      <c r="K305" s="4">
        <v>7136.1</v>
      </c>
      <c r="L305" s="5">
        <v>42816.6</v>
      </c>
      <c r="N305" s="2" t="str">
        <f>IF(Table1[Quantity] &gt; 2, "Bulk Order", "Standard Order")</f>
        <v>Bulk Order</v>
      </c>
    </row>
    <row r="306" ht="15.75" customHeight="1">
      <c r="A306" s="2" t="s">
        <v>875</v>
      </c>
      <c r="B306" s="3">
        <v>45891.0</v>
      </c>
      <c r="C306" s="2" t="s">
        <v>876</v>
      </c>
      <c r="D306" s="2" t="s">
        <v>877</v>
      </c>
      <c r="E306" s="2">
        <v>48.0</v>
      </c>
      <c r="F306" s="2" t="s">
        <v>37</v>
      </c>
      <c r="G306" s="2" t="s">
        <v>727</v>
      </c>
      <c r="H306" s="2" t="s">
        <v>64</v>
      </c>
      <c r="I306" s="2" t="s">
        <v>44</v>
      </c>
      <c r="J306" s="2">
        <v>10.0</v>
      </c>
      <c r="K306" s="4">
        <v>16360.67</v>
      </c>
      <c r="L306" s="5">
        <v>163606.7</v>
      </c>
      <c r="N306" s="2" t="str">
        <f>IF(Table1[Quantity] &gt; 2, "Bulk Order", "Standard Order")</f>
        <v>Bulk Order</v>
      </c>
    </row>
    <row r="307" ht="15.75" customHeight="1">
      <c r="A307" s="2" t="s">
        <v>878</v>
      </c>
      <c r="B307" s="3">
        <v>46016.0</v>
      </c>
      <c r="C307" s="2" t="s">
        <v>879</v>
      </c>
      <c r="D307" s="2" t="s">
        <v>213</v>
      </c>
      <c r="E307" s="2">
        <v>39.0</v>
      </c>
      <c r="F307" s="2" t="s">
        <v>37</v>
      </c>
      <c r="G307" s="2" t="s">
        <v>727</v>
      </c>
      <c r="H307" s="2" t="s">
        <v>42</v>
      </c>
      <c r="I307" s="2" t="s">
        <v>41</v>
      </c>
      <c r="J307" s="2">
        <v>9.0</v>
      </c>
      <c r="K307" s="4">
        <v>5037.6</v>
      </c>
      <c r="L307" s="5">
        <v>45338.4</v>
      </c>
      <c r="N307" s="2" t="str">
        <f>IF(Table1[Quantity] &gt; 2, "Bulk Order", "Standard Order")</f>
        <v>Bulk Order</v>
      </c>
    </row>
    <row r="308" ht="15.75" customHeight="1">
      <c r="A308" s="2" t="s">
        <v>880</v>
      </c>
      <c r="B308" s="3">
        <v>45710.0</v>
      </c>
      <c r="C308" s="2" t="s">
        <v>881</v>
      </c>
      <c r="D308" s="2" t="s">
        <v>112</v>
      </c>
      <c r="E308" s="2">
        <v>53.0</v>
      </c>
      <c r="F308" s="2" t="s">
        <v>29</v>
      </c>
      <c r="G308" s="2" t="s">
        <v>727</v>
      </c>
      <c r="H308" s="2" t="s">
        <v>74</v>
      </c>
      <c r="I308" s="2" t="s">
        <v>45</v>
      </c>
      <c r="J308" s="2">
        <v>6.0</v>
      </c>
      <c r="K308" s="4">
        <v>6567.81</v>
      </c>
      <c r="L308" s="5">
        <v>39406.86</v>
      </c>
      <c r="N308" s="2" t="str">
        <f>IF(Table1[Quantity] &gt; 2, "Bulk Order", "Standard Order")</f>
        <v>Bulk Order</v>
      </c>
    </row>
    <row r="309" ht="15.75" customHeight="1">
      <c r="A309" s="2" t="s">
        <v>882</v>
      </c>
      <c r="B309" s="3">
        <v>46019.0</v>
      </c>
      <c r="C309" s="2" t="s">
        <v>883</v>
      </c>
      <c r="D309" s="2" t="s">
        <v>213</v>
      </c>
      <c r="E309" s="2">
        <v>63.0</v>
      </c>
      <c r="F309" s="2" t="s">
        <v>37</v>
      </c>
      <c r="G309" s="2" t="s">
        <v>727</v>
      </c>
      <c r="H309" s="2" t="s">
        <v>42</v>
      </c>
      <c r="I309" s="2" t="s">
        <v>41</v>
      </c>
      <c r="J309" s="2">
        <v>3.0</v>
      </c>
      <c r="K309" s="4">
        <v>37002.06</v>
      </c>
      <c r="L309" s="5">
        <v>111006.18</v>
      </c>
      <c r="N309" s="2" t="str">
        <f>IF(Table1[Quantity] &gt; 2, "Bulk Order", "Standard Order")</f>
        <v>Bulk Order</v>
      </c>
    </row>
    <row r="310" ht="15.75" customHeight="1">
      <c r="A310" s="2" t="s">
        <v>884</v>
      </c>
      <c r="B310" s="3">
        <v>45866.0</v>
      </c>
      <c r="C310" s="2" t="s">
        <v>885</v>
      </c>
      <c r="D310" s="2" t="s">
        <v>532</v>
      </c>
      <c r="E310" s="2">
        <v>26.0</v>
      </c>
      <c r="F310" s="2" t="s">
        <v>29</v>
      </c>
      <c r="G310" s="2" t="s">
        <v>727</v>
      </c>
      <c r="H310" s="2" t="s">
        <v>64</v>
      </c>
      <c r="I310" s="2" t="s">
        <v>44</v>
      </c>
      <c r="J310" s="2">
        <v>5.0</v>
      </c>
      <c r="K310" s="4">
        <v>16321.45</v>
      </c>
      <c r="L310" s="5">
        <v>81607.25</v>
      </c>
      <c r="N310" s="2" t="str">
        <f>IF(Table1[Quantity] &gt; 2, "Bulk Order", "Standard Order")</f>
        <v>Bulk Order</v>
      </c>
    </row>
    <row r="311" ht="15.75" customHeight="1">
      <c r="A311" s="2" t="s">
        <v>886</v>
      </c>
      <c r="B311" s="3">
        <v>45806.0</v>
      </c>
      <c r="C311" s="2" t="s">
        <v>887</v>
      </c>
      <c r="D311" s="2" t="s">
        <v>193</v>
      </c>
      <c r="E311" s="2">
        <v>55.0</v>
      </c>
      <c r="F311" s="2" t="s">
        <v>37</v>
      </c>
      <c r="G311" s="2" t="s">
        <v>727</v>
      </c>
      <c r="H311" s="2" t="s">
        <v>74</v>
      </c>
      <c r="I311" s="2" t="s">
        <v>45</v>
      </c>
      <c r="J311" s="2">
        <v>1.0</v>
      </c>
      <c r="K311" s="4">
        <v>767.61</v>
      </c>
      <c r="L311" s="5">
        <v>767.61</v>
      </c>
      <c r="N311" s="2" t="str">
        <f>IF(Table1[Quantity] &gt; 2, "Bulk Order", "Standard Order")</f>
        <v>Standard Order</v>
      </c>
    </row>
    <row r="312" ht="15.75" customHeight="1">
      <c r="A312" s="2" t="s">
        <v>888</v>
      </c>
      <c r="B312" s="3">
        <v>45810.0</v>
      </c>
      <c r="C312" s="2" t="s">
        <v>889</v>
      </c>
      <c r="D312" s="2" t="s">
        <v>890</v>
      </c>
      <c r="E312" s="2">
        <v>32.0</v>
      </c>
      <c r="F312" s="2" t="s">
        <v>37</v>
      </c>
      <c r="G312" s="2" t="s">
        <v>727</v>
      </c>
      <c r="H312" s="2" t="s">
        <v>31</v>
      </c>
      <c r="I312" s="2" t="s">
        <v>32</v>
      </c>
      <c r="J312" s="2">
        <v>3.0</v>
      </c>
      <c r="K312" s="4">
        <v>40440.72</v>
      </c>
      <c r="L312" s="5">
        <v>121322.16</v>
      </c>
      <c r="N312" s="2" t="str">
        <f>IF(Table1[Quantity] &gt; 2, "Bulk Order", "Standard Order")</f>
        <v>Bulk Order</v>
      </c>
    </row>
    <row r="313" ht="15.75" customHeight="1">
      <c r="A313" s="2" t="s">
        <v>891</v>
      </c>
      <c r="B313" s="3">
        <v>45771.0</v>
      </c>
      <c r="C313" s="2" t="s">
        <v>892</v>
      </c>
      <c r="D313" s="2" t="s">
        <v>893</v>
      </c>
      <c r="E313" s="2">
        <v>37.0</v>
      </c>
      <c r="F313" s="2" t="s">
        <v>37</v>
      </c>
      <c r="G313" s="2" t="s">
        <v>727</v>
      </c>
      <c r="H313" s="2" t="s">
        <v>60</v>
      </c>
      <c r="I313" s="2" t="s">
        <v>43</v>
      </c>
      <c r="J313" s="2">
        <v>3.0</v>
      </c>
      <c r="K313" s="4">
        <v>35318.2</v>
      </c>
      <c r="L313" s="5">
        <v>105954.6</v>
      </c>
      <c r="N313" s="2" t="str">
        <f>IF(Table1[Quantity] &gt; 2, "Bulk Order", "Standard Order")</f>
        <v>Bulk Order</v>
      </c>
    </row>
    <row r="314" ht="15.75" customHeight="1">
      <c r="A314" s="2" t="s">
        <v>894</v>
      </c>
      <c r="B314" s="3">
        <v>45843.0</v>
      </c>
      <c r="C314" s="2" t="s">
        <v>895</v>
      </c>
      <c r="D314" s="2" t="s">
        <v>702</v>
      </c>
      <c r="E314" s="2">
        <v>62.0</v>
      </c>
      <c r="F314" s="2" t="s">
        <v>37</v>
      </c>
      <c r="G314" s="2" t="s">
        <v>727</v>
      </c>
      <c r="H314" s="2" t="s">
        <v>56</v>
      </c>
      <c r="I314" s="2" t="s">
        <v>43</v>
      </c>
      <c r="J314" s="2">
        <v>1.0</v>
      </c>
      <c r="K314" s="4">
        <v>47870.04</v>
      </c>
      <c r="L314" s="5">
        <v>47870.04</v>
      </c>
      <c r="N314" s="2" t="str">
        <f>IF(Table1[Quantity] &gt; 2, "Bulk Order", "Standard Order")</f>
        <v>Standard Order</v>
      </c>
    </row>
    <row r="315" ht="15.75" customHeight="1">
      <c r="A315" s="2" t="s">
        <v>896</v>
      </c>
      <c r="B315" s="3">
        <v>46009.0</v>
      </c>
      <c r="C315" s="2" t="s">
        <v>897</v>
      </c>
      <c r="D315" s="2" t="s">
        <v>898</v>
      </c>
      <c r="E315" s="2">
        <v>42.0</v>
      </c>
      <c r="F315" s="2" t="s">
        <v>37</v>
      </c>
      <c r="G315" s="2" t="s">
        <v>727</v>
      </c>
      <c r="H315" s="2" t="s">
        <v>64</v>
      </c>
      <c r="I315" s="2" t="s">
        <v>44</v>
      </c>
      <c r="J315" s="2">
        <v>9.0</v>
      </c>
      <c r="K315" s="4">
        <v>12514.53</v>
      </c>
      <c r="L315" s="5">
        <v>112630.77</v>
      </c>
      <c r="N315" s="2" t="str">
        <f>IF(Table1[Quantity] &gt; 2, "Bulk Order", "Standard Order")</f>
        <v>Bulk Order</v>
      </c>
    </row>
    <row r="316" ht="15.75" customHeight="1">
      <c r="A316" s="2" t="s">
        <v>899</v>
      </c>
      <c r="B316" s="3">
        <v>45792.0</v>
      </c>
      <c r="C316" s="2" t="s">
        <v>900</v>
      </c>
      <c r="D316" s="2" t="s">
        <v>901</v>
      </c>
      <c r="E316" s="2">
        <v>65.0</v>
      </c>
      <c r="F316" s="2" t="s">
        <v>37</v>
      </c>
      <c r="G316" s="2" t="s">
        <v>727</v>
      </c>
      <c r="H316" s="2" t="s">
        <v>31</v>
      </c>
      <c r="I316" s="2" t="s">
        <v>32</v>
      </c>
      <c r="J316" s="2">
        <v>1.0</v>
      </c>
      <c r="K316" s="4">
        <v>40250.63</v>
      </c>
      <c r="L316" s="5">
        <v>40250.63</v>
      </c>
      <c r="N316" s="2" t="str">
        <f>IF(Table1[Quantity] &gt; 2, "Bulk Order", "Standard Order")</f>
        <v>Standard Order</v>
      </c>
    </row>
    <row r="317" ht="15.75" customHeight="1">
      <c r="A317" s="2" t="s">
        <v>902</v>
      </c>
      <c r="B317" s="3">
        <v>45947.0</v>
      </c>
      <c r="C317" s="2" t="s">
        <v>903</v>
      </c>
      <c r="D317" s="2" t="s">
        <v>904</v>
      </c>
      <c r="E317" s="2">
        <v>28.0</v>
      </c>
      <c r="F317" s="2" t="s">
        <v>37</v>
      </c>
      <c r="G317" s="2" t="s">
        <v>727</v>
      </c>
      <c r="H317" s="2" t="s">
        <v>31</v>
      </c>
      <c r="I317" s="2" t="s">
        <v>32</v>
      </c>
      <c r="J317" s="2">
        <v>6.0</v>
      </c>
      <c r="K317" s="4">
        <v>13606.65</v>
      </c>
      <c r="L317" s="5">
        <v>81639.9</v>
      </c>
      <c r="N317" s="2" t="str">
        <f>IF(Table1[Quantity] &gt; 2, "Bulk Order", "Standard Order")</f>
        <v>Bulk Order</v>
      </c>
    </row>
    <row r="318" ht="15.75" customHeight="1">
      <c r="A318" s="2" t="s">
        <v>905</v>
      </c>
      <c r="B318" s="3">
        <v>45978.0</v>
      </c>
      <c r="C318" s="2" t="s">
        <v>906</v>
      </c>
      <c r="D318" s="2" t="s">
        <v>907</v>
      </c>
      <c r="E318" s="2">
        <v>20.0</v>
      </c>
      <c r="F318" s="2" t="s">
        <v>37</v>
      </c>
      <c r="G318" s="2" t="s">
        <v>727</v>
      </c>
      <c r="H318" s="2" t="s">
        <v>31</v>
      </c>
      <c r="I318" s="2" t="s">
        <v>32</v>
      </c>
      <c r="J318" s="2">
        <v>9.0</v>
      </c>
      <c r="K318" s="4">
        <v>26764.87</v>
      </c>
      <c r="L318" s="5">
        <v>240883.83</v>
      </c>
      <c r="N318" s="2" t="str">
        <f>IF(Table1[Quantity] &gt; 2, "Bulk Order", "Standard Order")</f>
        <v>Bulk Order</v>
      </c>
    </row>
    <row r="319" ht="15.75" customHeight="1">
      <c r="A319" s="2" t="s">
        <v>908</v>
      </c>
      <c r="B319" s="3">
        <v>45982.0</v>
      </c>
      <c r="C319" s="2" t="s">
        <v>909</v>
      </c>
      <c r="D319" s="2" t="s">
        <v>702</v>
      </c>
      <c r="E319" s="2">
        <v>33.0</v>
      </c>
      <c r="F319" s="2" t="s">
        <v>37</v>
      </c>
      <c r="G319" s="2" t="s">
        <v>727</v>
      </c>
      <c r="H319" s="2" t="s">
        <v>60</v>
      </c>
      <c r="I319" s="2" t="s">
        <v>43</v>
      </c>
      <c r="J319" s="2">
        <v>4.0</v>
      </c>
      <c r="K319" s="4">
        <v>39050.88</v>
      </c>
      <c r="L319" s="5">
        <v>156203.52</v>
      </c>
      <c r="N319" s="2" t="str">
        <f>IF(Table1[Quantity] &gt; 2, "Bulk Order", "Standard Order")</f>
        <v>Bulk Order</v>
      </c>
    </row>
    <row r="320" ht="15.75" customHeight="1">
      <c r="A320" s="2" t="s">
        <v>910</v>
      </c>
      <c r="B320" s="3">
        <v>45685.0</v>
      </c>
      <c r="C320" s="2" t="s">
        <v>911</v>
      </c>
      <c r="D320" s="2" t="s">
        <v>912</v>
      </c>
      <c r="E320" s="2">
        <v>60.0</v>
      </c>
      <c r="F320" s="2" t="s">
        <v>37</v>
      </c>
      <c r="G320" s="2" t="s">
        <v>727</v>
      </c>
      <c r="H320" s="2" t="s">
        <v>42</v>
      </c>
      <c r="I320" s="2" t="s">
        <v>41</v>
      </c>
      <c r="J320" s="2">
        <v>4.0</v>
      </c>
      <c r="K320" s="4">
        <v>18505.56</v>
      </c>
      <c r="L320" s="5">
        <v>74022.24</v>
      </c>
      <c r="N320" s="2" t="str">
        <f>IF(Table1[Quantity] &gt; 2, "Bulk Order", "Standard Order")</f>
        <v>Bulk Order</v>
      </c>
    </row>
    <row r="321" ht="15.75" customHeight="1">
      <c r="A321" s="2" t="s">
        <v>913</v>
      </c>
      <c r="B321" s="3">
        <v>45670.0</v>
      </c>
      <c r="C321" s="2" t="s">
        <v>914</v>
      </c>
      <c r="D321" s="2" t="s">
        <v>915</v>
      </c>
      <c r="E321" s="2">
        <v>20.0</v>
      </c>
      <c r="F321" s="2" t="s">
        <v>29</v>
      </c>
      <c r="G321" s="2" t="s">
        <v>727</v>
      </c>
      <c r="H321" s="2" t="s">
        <v>56</v>
      </c>
      <c r="I321" s="2" t="s">
        <v>43</v>
      </c>
      <c r="J321" s="2">
        <v>7.0</v>
      </c>
      <c r="K321" s="4">
        <v>22060.0</v>
      </c>
      <c r="L321" s="5">
        <v>154420.0</v>
      </c>
      <c r="N321" s="2" t="str">
        <f>IF(Table1[Quantity] &gt; 2, "Bulk Order", "Standard Order")</f>
        <v>Bulk Order</v>
      </c>
    </row>
    <row r="322" ht="15.75" customHeight="1">
      <c r="A322" s="2" t="s">
        <v>916</v>
      </c>
      <c r="B322" s="3">
        <v>45873.0</v>
      </c>
      <c r="C322" s="2" t="s">
        <v>917</v>
      </c>
      <c r="D322" s="2" t="s">
        <v>98</v>
      </c>
      <c r="E322" s="2">
        <v>39.0</v>
      </c>
      <c r="F322" s="2" t="s">
        <v>37</v>
      </c>
      <c r="G322" s="2" t="s">
        <v>727</v>
      </c>
      <c r="H322" s="2" t="s">
        <v>60</v>
      </c>
      <c r="I322" s="2" t="s">
        <v>43</v>
      </c>
      <c r="J322" s="2">
        <v>2.0</v>
      </c>
      <c r="K322" s="4">
        <v>7534.68</v>
      </c>
      <c r="L322" s="5">
        <v>15069.36</v>
      </c>
      <c r="N322" s="2" t="str">
        <f>IF(Table1[Quantity] &gt; 2, "Bulk Order", "Standard Order")</f>
        <v>Standard Order</v>
      </c>
    </row>
    <row r="323" ht="15.75" customHeight="1">
      <c r="A323" s="2" t="s">
        <v>918</v>
      </c>
      <c r="B323" s="3">
        <v>45866.0</v>
      </c>
      <c r="C323" s="2" t="s">
        <v>919</v>
      </c>
      <c r="D323" s="2" t="s">
        <v>920</v>
      </c>
      <c r="E323" s="2">
        <v>31.0</v>
      </c>
      <c r="F323" s="2" t="s">
        <v>29</v>
      </c>
      <c r="G323" s="2" t="s">
        <v>727</v>
      </c>
      <c r="H323" s="2" t="s">
        <v>60</v>
      </c>
      <c r="I323" s="2" t="s">
        <v>43</v>
      </c>
      <c r="J323" s="2">
        <v>4.0</v>
      </c>
      <c r="K323" s="4">
        <v>5789.5</v>
      </c>
      <c r="L323" s="5">
        <v>23158.0</v>
      </c>
      <c r="N323" s="2" t="str">
        <f>IF(Table1[Quantity] &gt; 2, "Bulk Order", "Standard Order")</f>
        <v>Bulk Order</v>
      </c>
    </row>
    <row r="324" ht="15.75" customHeight="1">
      <c r="A324" s="2" t="s">
        <v>921</v>
      </c>
      <c r="B324" s="3">
        <v>45708.0</v>
      </c>
      <c r="C324" s="2" t="s">
        <v>922</v>
      </c>
      <c r="D324" s="2" t="s">
        <v>449</v>
      </c>
      <c r="E324" s="2">
        <v>19.0</v>
      </c>
      <c r="F324" s="2" t="s">
        <v>29</v>
      </c>
      <c r="G324" s="2" t="s">
        <v>727</v>
      </c>
      <c r="H324" s="2" t="s">
        <v>31</v>
      </c>
      <c r="I324" s="2" t="s">
        <v>32</v>
      </c>
      <c r="J324" s="2">
        <v>4.0</v>
      </c>
      <c r="K324" s="4">
        <v>38952.78</v>
      </c>
      <c r="L324" s="5">
        <v>155811.12</v>
      </c>
      <c r="N324" s="2" t="str">
        <f>IF(Table1[Quantity] &gt; 2, "Bulk Order", "Standard Order")</f>
        <v>Bulk Order</v>
      </c>
    </row>
    <row r="325" ht="15.75" customHeight="1">
      <c r="A325" s="2" t="s">
        <v>923</v>
      </c>
      <c r="B325" s="3">
        <v>46016.0</v>
      </c>
      <c r="C325" s="2" t="s">
        <v>924</v>
      </c>
      <c r="D325" s="2" t="s">
        <v>925</v>
      </c>
      <c r="E325" s="2">
        <v>61.0</v>
      </c>
      <c r="F325" s="2" t="s">
        <v>29</v>
      </c>
      <c r="G325" s="2" t="s">
        <v>727</v>
      </c>
      <c r="H325" s="2" t="s">
        <v>74</v>
      </c>
      <c r="I325" s="2" t="s">
        <v>45</v>
      </c>
      <c r="J325" s="2">
        <v>2.0</v>
      </c>
      <c r="K325" s="4">
        <v>32432.65</v>
      </c>
      <c r="L325" s="5">
        <v>64865.3</v>
      </c>
      <c r="N325" s="2" t="str">
        <f>IF(Table1[Quantity] &gt; 2, "Bulk Order", "Standard Order")</f>
        <v>Standard Order</v>
      </c>
    </row>
    <row r="326" ht="15.75" customHeight="1">
      <c r="A326" s="2" t="s">
        <v>926</v>
      </c>
      <c r="B326" s="3">
        <v>45987.0</v>
      </c>
      <c r="C326" s="2" t="s">
        <v>927</v>
      </c>
      <c r="D326" s="2" t="s">
        <v>627</v>
      </c>
      <c r="E326" s="2">
        <v>30.0</v>
      </c>
      <c r="F326" s="2" t="s">
        <v>37</v>
      </c>
      <c r="G326" s="2" t="s">
        <v>727</v>
      </c>
      <c r="H326" s="2" t="s">
        <v>31</v>
      </c>
      <c r="I326" s="2" t="s">
        <v>32</v>
      </c>
      <c r="J326" s="2">
        <v>9.0</v>
      </c>
      <c r="K326" s="4">
        <v>46756.46</v>
      </c>
      <c r="L326" s="5">
        <v>420808.14</v>
      </c>
      <c r="N326" s="2" t="str">
        <f>IF(Table1[Quantity] &gt; 2, "Bulk Order", "Standard Order")</f>
        <v>Bulk Order</v>
      </c>
    </row>
    <row r="327" ht="15.75" customHeight="1">
      <c r="A327" s="2" t="s">
        <v>928</v>
      </c>
      <c r="B327" s="3">
        <v>45943.0</v>
      </c>
      <c r="C327" s="2" t="s">
        <v>929</v>
      </c>
      <c r="D327" s="2" t="s">
        <v>612</v>
      </c>
      <c r="E327" s="2">
        <v>22.0</v>
      </c>
      <c r="F327" s="2" t="s">
        <v>37</v>
      </c>
      <c r="G327" s="2" t="s">
        <v>727</v>
      </c>
      <c r="H327" s="2" t="s">
        <v>60</v>
      </c>
      <c r="I327" s="2" t="s">
        <v>43</v>
      </c>
      <c r="J327" s="2">
        <v>5.0</v>
      </c>
      <c r="K327" s="4">
        <v>7739.33</v>
      </c>
      <c r="L327" s="5">
        <v>38696.65</v>
      </c>
      <c r="N327" s="2" t="str">
        <f>IF(Table1[Quantity] &gt; 2, "Bulk Order", "Standard Order")</f>
        <v>Bulk Order</v>
      </c>
    </row>
    <row r="328" ht="15.75" customHeight="1">
      <c r="A328" s="2" t="s">
        <v>930</v>
      </c>
      <c r="B328" s="3">
        <v>45902.0</v>
      </c>
      <c r="C328" s="2" t="s">
        <v>931</v>
      </c>
      <c r="D328" s="2" t="s">
        <v>932</v>
      </c>
      <c r="E328" s="2">
        <v>63.0</v>
      </c>
      <c r="F328" s="2" t="s">
        <v>37</v>
      </c>
      <c r="G328" s="2" t="s">
        <v>727</v>
      </c>
      <c r="H328" s="2" t="s">
        <v>42</v>
      </c>
      <c r="I328" s="2" t="s">
        <v>41</v>
      </c>
      <c r="J328" s="2">
        <v>5.0</v>
      </c>
      <c r="K328" s="4">
        <v>33524.03</v>
      </c>
      <c r="L328" s="5">
        <v>167620.15</v>
      </c>
      <c r="N328" s="2" t="str">
        <f>IF(Table1[Quantity] &gt; 2, "Bulk Order", "Standard Order")</f>
        <v>Bulk Order</v>
      </c>
    </row>
    <row r="329" ht="15.75" customHeight="1">
      <c r="A329" s="2" t="s">
        <v>933</v>
      </c>
      <c r="B329" s="3">
        <v>45858.0</v>
      </c>
      <c r="C329" s="2" t="s">
        <v>934</v>
      </c>
      <c r="D329" s="2" t="s">
        <v>184</v>
      </c>
      <c r="E329" s="2">
        <v>18.0</v>
      </c>
      <c r="F329" s="2" t="s">
        <v>37</v>
      </c>
      <c r="G329" s="2" t="s">
        <v>727</v>
      </c>
      <c r="H329" s="2" t="s">
        <v>31</v>
      </c>
      <c r="I329" s="2" t="s">
        <v>32</v>
      </c>
      <c r="J329" s="2">
        <v>5.0</v>
      </c>
      <c r="K329" s="4">
        <v>35120.83</v>
      </c>
      <c r="L329" s="5">
        <v>175604.15</v>
      </c>
      <c r="N329" s="2" t="str">
        <f>IF(Table1[Quantity] &gt; 2, "Bulk Order", "Standard Order")</f>
        <v>Bulk Order</v>
      </c>
    </row>
    <row r="330" ht="15.75" customHeight="1">
      <c r="A330" s="2" t="s">
        <v>935</v>
      </c>
      <c r="B330" s="3">
        <v>46013.0</v>
      </c>
      <c r="C330" s="2" t="s">
        <v>936</v>
      </c>
      <c r="D330" s="2" t="s">
        <v>937</v>
      </c>
      <c r="E330" s="2">
        <v>37.0</v>
      </c>
      <c r="F330" s="2" t="s">
        <v>29</v>
      </c>
      <c r="G330" s="2" t="s">
        <v>727</v>
      </c>
      <c r="H330" s="2" t="s">
        <v>74</v>
      </c>
      <c r="I330" s="2" t="s">
        <v>45</v>
      </c>
      <c r="J330" s="2">
        <v>8.0</v>
      </c>
      <c r="K330" s="4">
        <v>25269.25</v>
      </c>
      <c r="L330" s="5">
        <v>202154.0</v>
      </c>
      <c r="N330" s="2" t="str">
        <f>IF(Table1[Quantity] &gt; 2, "Bulk Order", "Standard Order")</f>
        <v>Bulk Order</v>
      </c>
    </row>
    <row r="331" ht="15.75" customHeight="1">
      <c r="A331" s="2" t="s">
        <v>938</v>
      </c>
      <c r="B331" s="3">
        <v>45972.0</v>
      </c>
      <c r="C331" s="2" t="s">
        <v>939</v>
      </c>
      <c r="D331" s="2" t="s">
        <v>77</v>
      </c>
      <c r="E331" s="2">
        <v>62.0</v>
      </c>
      <c r="F331" s="2" t="s">
        <v>29</v>
      </c>
      <c r="G331" s="2" t="s">
        <v>727</v>
      </c>
      <c r="H331" s="2" t="s">
        <v>64</v>
      </c>
      <c r="I331" s="2" t="s">
        <v>44</v>
      </c>
      <c r="J331" s="2">
        <v>4.0</v>
      </c>
      <c r="K331" s="4">
        <v>26936.34</v>
      </c>
      <c r="L331" s="5">
        <v>107745.36</v>
      </c>
      <c r="N331" s="2" t="str">
        <f>IF(Table1[Quantity] &gt; 2, "Bulk Order", "Standard Order")</f>
        <v>Bulk Order</v>
      </c>
    </row>
    <row r="332" ht="15.75" customHeight="1">
      <c r="A332" s="2" t="s">
        <v>940</v>
      </c>
      <c r="B332" s="3">
        <v>45901.0</v>
      </c>
      <c r="C332" s="2" t="s">
        <v>941</v>
      </c>
      <c r="D332" s="2" t="s">
        <v>95</v>
      </c>
      <c r="E332" s="2">
        <v>22.0</v>
      </c>
      <c r="F332" s="2" t="s">
        <v>37</v>
      </c>
      <c r="G332" s="2" t="s">
        <v>727</v>
      </c>
      <c r="H332" s="2" t="s">
        <v>31</v>
      </c>
      <c r="I332" s="2" t="s">
        <v>32</v>
      </c>
      <c r="J332" s="2">
        <v>2.0</v>
      </c>
      <c r="K332" s="4">
        <v>38128.32</v>
      </c>
      <c r="L332" s="5">
        <v>76256.64</v>
      </c>
      <c r="N332" s="2" t="str">
        <f>IF(Table1[Quantity] &gt; 2, "Bulk Order", "Standard Order")</f>
        <v>Standard Order</v>
      </c>
    </row>
    <row r="333" ht="15.75" customHeight="1">
      <c r="A333" s="2" t="s">
        <v>942</v>
      </c>
      <c r="B333" s="3">
        <v>45675.0</v>
      </c>
      <c r="C333" s="2" t="s">
        <v>943</v>
      </c>
      <c r="D333" s="2" t="s">
        <v>944</v>
      </c>
      <c r="E333" s="2">
        <v>38.0</v>
      </c>
      <c r="F333" s="2" t="s">
        <v>37</v>
      </c>
      <c r="G333" s="2" t="s">
        <v>727</v>
      </c>
      <c r="H333" s="2" t="s">
        <v>42</v>
      </c>
      <c r="I333" s="2" t="s">
        <v>41</v>
      </c>
      <c r="J333" s="2">
        <v>6.0</v>
      </c>
      <c r="K333" s="4">
        <v>21720.56</v>
      </c>
      <c r="L333" s="5">
        <v>130323.36</v>
      </c>
      <c r="N333" s="2" t="str">
        <f>IF(Table1[Quantity] &gt; 2, "Bulk Order", "Standard Order")</f>
        <v>Bulk Order</v>
      </c>
    </row>
    <row r="334" ht="15.75" customHeight="1">
      <c r="A334" s="2" t="s">
        <v>945</v>
      </c>
      <c r="B334" s="3">
        <v>45887.0</v>
      </c>
      <c r="C334" s="2" t="s">
        <v>946</v>
      </c>
      <c r="D334" s="2" t="s">
        <v>624</v>
      </c>
      <c r="E334" s="2">
        <v>38.0</v>
      </c>
      <c r="F334" s="2" t="s">
        <v>37</v>
      </c>
      <c r="G334" s="2" t="s">
        <v>727</v>
      </c>
      <c r="H334" s="2" t="s">
        <v>74</v>
      </c>
      <c r="I334" s="2" t="s">
        <v>45</v>
      </c>
      <c r="J334" s="2">
        <v>3.0</v>
      </c>
      <c r="K334" s="4">
        <v>4568.61</v>
      </c>
      <c r="L334" s="5">
        <v>13705.83</v>
      </c>
      <c r="N334" s="2" t="str">
        <f>IF(Table1[Quantity] &gt; 2, "Bulk Order", "Standard Order")</f>
        <v>Bulk Order</v>
      </c>
    </row>
    <row r="335" ht="15.75" customHeight="1">
      <c r="A335" s="2" t="s">
        <v>947</v>
      </c>
      <c r="B335" s="3">
        <v>45664.0</v>
      </c>
      <c r="C335" s="2" t="s">
        <v>948</v>
      </c>
      <c r="D335" s="2" t="s">
        <v>949</v>
      </c>
      <c r="E335" s="2">
        <v>20.0</v>
      </c>
      <c r="F335" s="2" t="s">
        <v>29</v>
      </c>
      <c r="G335" s="2" t="s">
        <v>727</v>
      </c>
      <c r="H335" s="2" t="s">
        <v>64</v>
      </c>
      <c r="I335" s="2" t="s">
        <v>44</v>
      </c>
      <c r="J335" s="2">
        <v>5.0</v>
      </c>
      <c r="K335" s="4">
        <v>22734.66</v>
      </c>
      <c r="L335" s="5">
        <v>113673.3</v>
      </c>
      <c r="N335" s="2" t="str">
        <f>IF(Table1[Quantity] &gt; 2, "Bulk Order", "Standard Order")</f>
        <v>Bulk Order</v>
      </c>
    </row>
    <row r="336" ht="15.75" customHeight="1">
      <c r="A336" s="2" t="s">
        <v>950</v>
      </c>
      <c r="B336" s="3">
        <v>45838.0</v>
      </c>
      <c r="C336" s="2" t="s">
        <v>951</v>
      </c>
      <c r="D336" s="2" t="s">
        <v>542</v>
      </c>
      <c r="E336" s="2">
        <v>22.0</v>
      </c>
      <c r="F336" s="2" t="s">
        <v>29</v>
      </c>
      <c r="G336" s="2" t="s">
        <v>727</v>
      </c>
      <c r="H336" s="2" t="s">
        <v>42</v>
      </c>
      <c r="I336" s="2" t="s">
        <v>41</v>
      </c>
      <c r="J336" s="2">
        <v>3.0</v>
      </c>
      <c r="K336" s="4">
        <v>26807.04</v>
      </c>
      <c r="L336" s="5">
        <v>80421.12</v>
      </c>
      <c r="N336" s="2" t="str">
        <f>IF(Table1[Quantity] &gt; 2, "Bulk Order", "Standard Order")</f>
        <v>Bulk Order</v>
      </c>
    </row>
    <row r="337" ht="15.75" customHeight="1">
      <c r="A337" s="2" t="s">
        <v>952</v>
      </c>
      <c r="B337" s="3">
        <v>45723.0</v>
      </c>
      <c r="C337" s="2" t="s">
        <v>953</v>
      </c>
      <c r="D337" s="2" t="s">
        <v>954</v>
      </c>
      <c r="E337" s="2">
        <v>28.0</v>
      </c>
      <c r="F337" s="2" t="s">
        <v>29</v>
      </c>
      <c r="G337" s="2" t="s">
        <v>727</v>
      </c>
      <c r="H337" s="2" t="s">
        <v>74</v>
      </c>
      <c r="I337" s="2" t="s">
        <v>45</v>
      </c>
      <c r="J337" s="2">
        <v>3.0</v>
      </c>
      <c r="K337" s="4">
        <v>24462.54</v>
      </c>
      <c r="L337" s="5">
        <v>73387.62</v>
      </c>
      <c r="N337" s="2" t="str">
        <f>IF(Table1[Quantity] &gt; 2, "Bulk Order", "Standard Order")</f>
        <v>Bulk Order</v>
      </c>
    </row>
    <row r="338" ht="15.75" customHeight="1">
      <c r="A338" s="2" t="s">
        <v>955</v>
      </c>
      <c r="B338" s="3">
        <v>45923.0</v>
      </c>
      <c r="C338" s="2" t="s">
        <v>956</v>
      </c>
      <c r="D338" s="2" t="s">
        <v>957</v>
      </c>
      <c r="E338" s="2">
        <v>32.0</v>
      </c>
      <c r="F338" s="2" t="s">
        <v>29</v>
      </c>
      <c r="G338" s="2" t="s">
        <v>727</v>
      </c>
      <c r="H338" s="2" t="s">
        <v>56</v>
      </c>
      <c r="I338" s="2" t="s">
        <v>43</v>
      </c>
      <c r="J338" s="2">
        <v>6.0</v>
      </c>
      <c r="K338" s="4">
        <v>19210.66</v>
      </c>
      <c r="L338" s="5">
        <v>115263.96</v>
      </c>
      <c r="N338" s="2" t="str">
        <f>IF(Table1[Quantity] &gt; 2, "Bulk Order", "Standard Order")</f>
        <v>Bulk Order</v>
      </c>
    </row>
    <row r="339" ht="15.75" customHeight="1">
      <c r="A339" s="2" t="s">
        <v>958</v>
      </c>
      <c r="B339" s="3">
        <v>45725.0</v>
      </c>
      <c r="C339" s="2" t="s">
        <v>959</v>
      </c>
      <c r="D339" s="2" t="s">
        <v>960</v>
      </c>
      <c r="E339" s="2">
        <v>42.0</v>
      </c>
      <c r="F339" s="2" t="s">
        <v>29</v>
      </c>
      <c r="G339" s="2" t="s">
        <v>727</v>
      </c>
      <c r="H339" s="2" t="s">
        <v>31</v>
      </c>
      <c r="I339" s="2" t="s">
        <v>32</v>
      </c>
      <c r="J339" s="2">
        <v>3.0</v>
      </c>
      <c r="K339" s="4">
        <v>45959.58</v>
      </c>
      <c r="L339" s="5">
        <v>137878.74</v>
      </c>
      <c r="N339" s="2" t="str">
        <f>IF(Table1[Quantity] &gt; 2, "Bulk Order", "Standard Order")</f>
        <v>Bulk Order</v>
      </c>
    </row>
    <row r="340" ht="15.75" customHeight="1">
      <c r="A340" s="2" t="s">
        <v>961</v>
      </c>
      <c r="B340" s="3">
        <v>45769.0</v>
      </c>
      <c r="C340" s="2" t="s">
        <v>962</v>
      </c>
      <c r="D340" s="2" t="s">
        <v>107</v>
      </c>
      <c r="E340" s="2">
        <v>57.0</v>
      </c>
      <c r="F340" s="2" t="s">
        <v>37</v>
      </c>
      <c r="G340" s="2" t="s">
        <v>727</v>
      </c>
      <c r="H340" s="2" t="s">
        <v>60</v>
      </c>
      <c r="I340" s="2" t="s">
        <v>43</v>
      </c>
      <c r="J340" s="2">
        <v>10.0</v>
      </c>
      <c r="K340" s="4">
        <v>17533.55</v>
      </c>
      <c r="L340" s="5">
        <v>175335.5</v>
      </c>
      <c r="N340" s="2" t="str">
        <f>IF(Table1[Quantity] &gt; 2, "Bulk Order", "Standard Order")</f>
        <v>Bulk Order</v>
      </c>
    </row>
    <row r="341" ht="15.75" customHeight="1">
      <c r="A341" s="2" t="s">
        <v>963</v>
      </c>
      <c r="B341" s="3">
        <v>45778.0</v>
      </c>
      <c r="C341" s="2" t="s">
        <v>964</v>
      </c>
      <c r="D341" s="2" t="s">
        <v>874</v>
      </c>
      <c r="E341" s="2">
        <v>56.0</v>
      </c>
      <c r="F341" s="2" t="s">
        <v>29</v>
      </c>
      <c r="G341" s="2" t="s">
        <v>727</v>
      </c>
      <c r="H341" s="2" t="s">
        <v>60</v>
      </c>
      <c r="I341" s="2" t="s">
        <v>43</v>
      </c>
      <c r="J341" s="2">
        <v>5.0</v>
      </c>
      <c r="K341" s="4">
        <v>17824.96</v>
      </c>
      <c r="L341" s="5">
        <v>89124.8</v>
      </c>
      <c r="N341" s="2" t="str">
        <f>IF(Table1[Quantity] &gt; 2, "Bulk Order", "Standard Order")</f>
        <v>Bulk Order</v>
      </c>
    </row>
    <row r="342" ht="15.75" customHeight="1">
      <c r="A342" s="2" t="s">
        <v>965</v>
      </c>
      <c r="B342" s="3">
        <v>45847.0</v>
      </c>
      <c r="C342" s="2" t="s">
        <v>966</v>
      </c>
      <c r="D342" s="2" t="s">
        <v>967</v>
      </c>
      <c r="E342" s="2">
        <v>32.0</v>
      </c>
      <c r="F342" s="2" t="s">
        <v>29</v>
      </c>
      <c r="G342" s="2" t="s">
        <v>727</v>
      </c>
      <c r="H342" s="2" t="s">
        <v>74</v>
      </c>
      <c r="I342" s="2" t="s">
        <v>45</v>
      </c>
      <c r="J342" s="2">
        <v>10.0</v>
      </c>
      <c r="K342" s="4">
        <v>8630.9</v>
      </c>
      <c r="L342" s="5">
        <v>86309.0</v>
      </c>
      <c r="N342" s="2" t="str">
        <f>IF(Table1[Quantity] &gt; 2, "Bulk Order", "Standard Order")</f>
        <v>Bulk Order</v>
      </c>
    </row>
    <row r="343" ht="15.75" customHeight="1">
      <c r="A343" s="2" t="s">
        <v>968</v>
      </c>
      <c r="B343" s="3">
        <v>45830.0</v>
      </c>
      <c r="C343" s="2" t="s">
        <v>969</v>
      </c>
      <c r="D343" s="2" t="s">
        <v>912</v>
      </c>
      <c r="E343" s="2">
        <v>50.0</v>
      </c>
      <c r="F343" s="2" t="s">
        <v>29</v>
      </c>
      <c r="G343" s="2" t="s">
        <v>727</v>
      </c>
      <c r="H343" s="2" t="s">
        <v>42</v>
      </c>
      <c r="I343" s="2" t="s">
        <v>41</v>
      </c>
      <c r="J343" s="2">
        <v>6.0</v>
      </c>
      <c r="K343" s="4">
        <v>28107.77</v>
      </c>
      <c r="L343" s="5">
        <v>168646.62</v>
      </c>
      <c r="N343" s="2" t="str">
        <f>IF(Table1[Quantity] &gt; 2, "Bulk Order", "Standard Order")</f>
        <v>Bulk Order</v>
      </c>
    </row>
    <row r="344" ht="15.75" customHeight="1">
      <c r="A344" s="2" t="s">
        <v>970</v>
      </c>
      <c r="B344" s="3">
        <v>45787.0</v>
      </c>
      <c r="C344" s="2" t="s">
        <v>971</v>
      </c>
      <c r="D344" s="2" t="s">
        <v>972</v>
      </c>
      <c r="E344" s="2">
        <v>47.0</v>
      </c>
      <c r="F344" s="2" t="s">
        <v>37</v>
      </c>
      <c r="G344" s="2" t="s">
        <v>727</v>
      </c>
      <c r="H344" s="2" t="s">
        <v>56</v>
      </c>
      <c r="I344" s="2" t="s">
        <v>43</v>
      </c>
      <c r="J344" s="2">
        <v>1.0</v>
      </c>
      <c r="K344" s="4">
        <v>40350.67</v>
      </c>
      <c r="L344" s="5">
        <v>40350.67</v>
      </c>
      <c r="N344" s="2" t="str">
        <f>IF(Table1[Quantity] &gt; 2, "Bulk Order", "Standard Order")</f>
        <v>Standard Order</v>
      </c>
    </row>
    <row r="345" ht="15.75" customHeight="1">
      <c r="A345" s="2" t="s">
        <v>973</v>
      </c>
      <c r="B345" s="3">
        <v>45718.0</v>
      </c>
      <c r="C345" s="2" t="s">
        <v>974</v>
      </c>
      <c r="D345" s="2" t="s">
        <v>960</v>
      </c>
      <c r="E345" s="2">
        <v>50.0</v>
      </c>
      <c r="F345" s="2" t="s">
        <v>29</v>
      </c>
      <c r="G345" s="2" t="s">
        <v>727</v>
      </c>
      <c r="H345" s="2" t="s">
        <v>64</v>
      </c>
      <c r="I345" s="2" t="s">
        <v>44</v>
      </c>
      <c r="J345" s="2">
        <v>10.0</v>
      </c>
      <c r="K345" s="4">
        <v>32483.32</v>
      </c>
      <c r="L345" s="5">
        <v>324833.2</v>
      </c>
      <c r="N345" s="2" t="str">
        <f>IF(Table1[Quantity] &gt; 2, "Bulk Order", "Standard Order")</f>
        <v>Bulk Order</v>
      </c>
    </row>
    <row r="346" ht="15.75" customHeight="1">
      <c r="A346" s="2" t="s">
        <v>975</v>
      </c>
      <c r="B346" s="3">
        <v>45915.0</v>
      </c>
      <c r="C346" s="2" t="s">
        <v>976</v>
      </c>
      <c r="D346" s="2" t="s">
        <v>277</v>
      </c>
      <c r="E346" s="2">
        <v>37.0</v>
      </c>
      <c r="F346" s="2" t="s">
        <v>29</v>
      </c>
      <c r="G346" s="2" t="s">
        <v>727</v>
      </c>
      <c r="H346" s="2" t="s">
        <v>31</v>
      </c>
      <c r="I346" s="2" t="s">
        <v>32</v>
      </c>
      <c r="J346" s="2">
        <v>1.0</v>
      </c>
      <c r="K346" s="4">
        <v>21368.29</v>
      </c>
      <c r="L346" s="5">
        <v>21368.29</v>
      </c>
      <c r="N346" s="2" t="str">
        <f>IF(Table1[Quantity] &gt; 2, "Bulk Order", "Standard Order")</f>
        <v>Standard Order</v>
      </c>
    </row>
    <row r="347" ht="15.75" customHeight="1">
      <c r="A347" s="2" t="s">
        <v>977</v>
      </c>
      <c r="B347" s="3">
        <v>45746.0</v>
      </c>
      <c r="C347" s="2" t="s">
        <v>978</v>
      </c>
      <c r="D347" s="2" t="s">
        <v>979</v>
      </c>
      <c r="E347" s="2">
        <v>64.0</v>
      </c>
      <c r="F347" s="2" t="s">
        <v>29</v>
      </c>
      <c r="G347" s="2" t="s">
        <v>727</v>
      </c>
      <c r="H347" s="2" t="s">
        <v>74</v>
      </c>
      <c r="I347" s="2" t="s">
        <v>45</v>
      </c>
      <c r="J347" s="2">
        <v>4.0</v>
      </c>
      <c r="K347" s="4">
        <v>2716.24</v>
      </c>
      <c r="L347" s="5">
        <v>10864.96</v>
      </c>
      <c r="N347" s="2" t="str">
        <f>IF(Table1[Quantity] &gt; 2, "Bulk Order", "Standard Order")</f>
        <v>Bulk Order</v>
      </c>
    </row>
    <row r="348" ht="15.75" customHeight="1">
      <c r="A348" s="2" t="s">
        <v>980</v>
      </c>
      <c r="B348" s="3">
        <v>45964.0</v>
      </c>
      <c r="C348" s="2" t="s">
        <v>981</v>
      </c>
      <c r="D348" s="2" t="s">
        <v>653</v>
      </c>
      <c r="E348" s="2">
        <v>33.0</v>
      </c>
      <c r="F348" s="2" t="s">
        <v>37</v>
      </c>
      <c r="G348" s="2" t="s">
        <v>727</v>
      </c>
      <c r="H348" s="2" t="s">
        <v>42</v>
      </c>
      <c r="I348" s="2" t="s">
        <v>41</v>
      </c>
      <c r="J348" s="2">
        <v>4.0</v>
      </c>
      <c r="K348" s="4">
        <v>8685.69</v>
      </c>
      <c r="L348" s="5">
        <v>34742.76</v>
      </c>
      <c r="N348" s="2" t="str">
        <f>IF(Table1[Quantity] &gt; 2, "Bulk Order", "Standard Order")</f>
        <v>Bulk Order</v>
      </c>
    </row>
    <row r="349" ht="15.75" customHeight="1">
      <c r="A349" s="2" t="s">
        <v>982</v>
      </c>
      <c r="B349" s="3">
        <v>45994.0</v>
      </c>
      <c r="C349" s="2" t="s">
        <v>983</v>
      </c>
      <c r="D349" s="2" t="s">
        <v>28</v>
      </c>
      <c r="E349" s="2">
        <v>51.0</v>
      </c>
      <c r="F349" s="2" t="s">
        <v>29</v>
      </c>
      <c r="G349" s="2" t="s">
        <v>727</v>
      </c>
      <c r="H349" s="2" t="s">
        <v>56</v>
      </c>
      <c r="I349" s="2" t="s">
        <v>43</v>
      </c>
      <c r="J349" s="2">
        <v>3.0</v>
      </c>
      <c r="K349" s="4">
        <v>14145.7</v>
      </c>
      <c r="L349" s="5">
        <v>42437.1</v>
      </c>
      <c r="N349" s="2" t="str">
        <f>IF(Table1[Quantity] &gt; 2, "Bulk Order", "Standard Order")</f>
        <v>Bulk Order</v>
      </c>
    </row>
    <row r="350" ht="15.75" customHeight="1">
      <c r="A350" s="2" t="s">
        <v>984</v>
      </c>
      <c r="B350" s="3">
        <v>45737.0</v>
      </c>
      <c r="C350" s="2" t="s">
        <v>985</v>
      </c>
      <c r="D350" s="2" t="s">
        <v>356</v>
      </c>
      <c r="E350" s="2">
        <v>62.0</v>
      </c>
      <c r="F350" s="2" t="s">
        <v>29</v>
      </c>
      <c r="G350" s="2" t="s">
        <v>727</v>
      </c>
      <c r="H350" s="2" t="s">
        <v>42</v>
      </c>
      <c r="I350" s="2" t="s">
        <v>41</v>
      </c>
      <c r="J350" s="2">
        <v>3.0</v>
      </c>
      <c r="K350" s="4">
        <v>33186.38</v>
      </c>
      <c r="L350" s="5">
        <v>99559.14</v>
      </c>
      <c r="N350" s="2" t="str">
        <f>IF(Table1[Quantity] &gt; 2, "Bulk Order", "Standard Order")</f>
        <v>Bulk Order</v>
      </c>
    </row>
    <row r="351" ht="15.75" customHeight="1">
      <c r="A351" s="2" t="s">
        <v>986</v>
      </c>
      <c r="B351" s="3">
        <v>45837.0</v>
      </c>
      <c r="C351" s="2" t="s">
        <v>987</v>
      </c>
      <c r="D351" s="2" t="s">
        <v>988</v>
      </c>
      <c r="E351" s="2">
        <v>19.0</v>
      </c>
      <c r="F351" s="2" t="s">
        <v>37</v>
      </c>
      <c r="G351" s="2" t="s">
        <v>727</v>
      </c>
      <c r="H351" s="2" t="s">
        <v>74</v>
      </c>
      <c r="I351" s="2" t="s">
        <v>45</v>
      </c>
      <c r="J351" s="2">
        <v>10.0</v>
      </c>
      <c r="K351" s="4">
        <v>3051.95</v>
      </c>
      <c r="L351" s="5">
        <v>30519.5</v>
      </c>
      <c r="N351" s="2" t="str">
        <f>IF(Table1[Quantity] &gt; 2, "Bulk Order", "Standard Order")</f>
        <v>Bulk Order</v>
      </c>
    </row>
    <row r="352" ht="15.75" customHeight="1">
      <c r="A352" s="2" t="s">
        <v>989</v>
      </c>
      <c r="B352" s="3">
        <v>45928.0</v>
      </c>
      <c r="C352" s="2" t="s">
        <v>990</v>
      </c>
      <c r="D352" s="2" t="s">
        <v>568</v>
      </c>
      <c r="E352" s="2">
        <v>62.0</v>
      </c>
      <c r="F352" s="2" t="s">
        <v>29</v>
      </c>
      <c r="G352" s="2" t="s">
        <v>727</v>
      </c>
      <c r="H352" s="2" t="s">
        <v>64</v>
      </c>
      <c r="I352" s="2" t="s">
        <v>44</v>
      </c>
      <c r="J352" s="2">
        <v>8.0</v>
      </c>
      <c r="K352" s="4">
        <v>26327.39</v>
      </c>
      <c r="L352" s="5">
        <v>210619.12</v>
      </c>
      <c r="N352" s="2" t="str">
        <f>IF(Table1[Quantity] &gt; 2, "Bulk Order", "Standard Order")</f>
        <v>Bulk Order</v>
      </c>
    </row>
    <row r="353" ht="15.75" customHeight="1">
      <c r="A353" s="2" t="s">
        <v>991</v>
      </c>
      <c r="B353" s="3">
        <v>45835.0</v>
      </c>
      <c r="C353" s="2" t="s">
        <v>992</v>
      </c>
      <c r="D353" s="2" t="s">
        <v>196</v>
      </c>
      <c r="E353" s="2">
        <v>19.0</v>
      </c>
      <c r="F353" s="2" t="s">
        <v>29</v>
      </c>
      <c r="G353" s="2" t="s">
        <v>727</v>
      </c>
      <c r="H353" s="2" t="s">
        <v>42</v>
      </c>
      <c r="I353" s="2" t="s">
        <v>41</v>
      </c>
      <c r="J353" s="2">
        <v>2.0</v>
      </c>
      <c r="K353" s="4">
        <v>35430.53</v>
      </c>
      <c r="L353" s="5">
        <v>70861.06</v>
      </c>
      <c r="N353" s="2" t="str">
        <f>IF(Table1[Quantity] &gt; 2, "Bulk Order", "Standard Order")</f>
        <v>Standard Order</v>
      </c>
    </row>
    <row r="354" ht="15.75" customHeight="1">
      <c r="A354" s="2" t="s">
        <v>993</v>
      </c>
      <c r="B354" s="3">
        <v>45741.0</v>
      </c>
      <c r="C354" s="2" t="s">
        <v>994</v>
      </c>
      <c r="D354" s="2" t="s">
        <v>745</v>
      </c>
      <c r="E354" s="2">
        <v>21.0</v>
      </c>
      <c r="F354" s="2" t="s">
        <v>37</v>
      </c>
      <c r="G354" s="2" t="s">
        <v>727</v>
      </c>
      <c r="H354" s="2" t="s">
        <v>74</v>
      </c>
      <c r="I354" s="2" t="s">
        <v>45</v>
      </c>
      <c r="J354" s="2">
        <v>3.0</v>
      </c>
      <c r="K354" s="4">
        <v>43166.95</v>
      </c>
      <c r="L354" s="5">
        <v>129500.85</v>
      </c>
      <c r="N354" s="2" t="str">
        <f>IF(Table1[Quantity] &gt; 2, "Bulk Order", "Standard Order")</f>
        <v>Bulk Order</v>
      </c>
    </row>
    <row r="355" ht="15.75" customHeight="1">
      <c r="A355" s="2" t="s">
        <v>995</v>
      </c>
      <c r="B355" s="3">
        <v>45698.0</v>
      </c>
      <c r="C355" s="2" t="s">
        <v>996</v>
      </c>
      <c r="D355" s="2" t="s">
        <v>258</v>
      </c>
      <c r="E355" s="2">
        <v>49.0</v>
      </c>
      <c r="F355" s="2" t="s">
        <v>37</v>
      </c>
      <c r="G355" s="2" t="s">
        <v>727</v>
      </c>
      <c r="H355" s="2" t="s">
        <v>60</v>
      </c>
      <c r="I355" s="2" t="s">
        <v>43</v>
      </c>
      <c r="J355" s="2">
        <v>3.0</v>
      </c>
      <c r="K355" s="4">
        <v>10131.58</v>
      </c>
      <c r="L355" s="5">
        <v>30394.74</v>
      </c>
      <c r="N355" s="2" t="str">
        <f>IF(Table1[Quantity] &gt; 2, "Bulk Order", "Standard Order")</f>
        <v>Bulk Order</v>
      </c>
    </row>
    <row r="356" ht="15.75" customHeight="1">
      <c r="A356" s="2" t="s">
        <v>997</v>
      </c>
      <c r="B356" s="3">
        <v>45938.0</v>
      </c>
      <c r="C356" s="2" t="s">
        <v>998</v>
      </c>
      <c r="D356" s="2" t="s">
        <v>999</v>
      </c>
      <c r="E356" s="2">
        <v>33.0</v>
      </c>
      <c r="F356" s="2" t="s">
        <v>37</v>
      </c>
      <c r="G356" s="2" t="s">
        <v>727</v>
      </c>
      <c r="H356" s="2" t="s">
        <v>31</v>
      </c>
      <c r="I356" s="2" t="s">
        <v>32</v>
      </c>
      <c r="J356" s="2">
        <v>7.0</v>
      </c>
      <c r="K356" s="4">
        <v>42785.56</v>
      </c>
      <c r="L356" s="5">
        <v>299498.92</v>
      </c>
      <c r="N356" s="2" t="str">
        <f>IF(Table1[Quantity] &gt; 2, "Bulk Order", "Standard Order")</f>
        <v>Bulk Order</v>
      </c>
    </row>
    <row r="357" ht="15.75" customHeight="1">
      <c r="A357" s="2" t="s">
        <v>1000</v>
      </c>
      <c r="B357" s="3">
        <v>45819.0</v>
      </c>
      <c r="C357" s="2" t="s">
        <v>1001</v>
      </c>
      <c r="D357" s="2" t="s">
        <v>333</v>
      </c>
      <c r="E357" s="2">
        <v>35.0</v>
      </c>
      <c r="F357" s="2" t="s">
        <v>37</v>
      </c>
      <c r="G357" s="2" t="s">
        <v>727</v>
      </c>
      <c r="H357" s="2" t="s">
        <v>60</v>
      </c>
      <c r="I357" s="2" t="s">
        <v>43</v>
      </c>
      <c r="J357" s="2">
        <v>10.0</v>
      </c>
      <c r="K357" s="4">
        <v>12754.35</v>
      </c>
      <c r="L357" s="5">
        <v>127543.5</v>
      </c>
      <c r="N357" s="2" t="str">
        <f>IF(Table1[Quantity] &gt; 2, "Bulk Order", "Standard Order")</f>
        <v>Bulk Order</v>
      </c>
    </row>
    <row r="358" ht="15.75" customHeight="1">
      <c r="A358" s="2" t="s">
        <v>1002</v>
      </c>
      <c r="B358" s="3">
        <v>45767.0</v>
      </c>
      <c r="C358" s="2" t="s">
        <v>1003</v>
      </c>
      <c r="D358" s="2" t="s">
        <v>1004</v>
      </c>
      <c r="E358" s="2">
        <v>40.0</v>
      </c>
      <c r="F358" s="2" t="s">
        <v>29</v>
      </c>
      <c r="G358" s="2" t="s">
        <v>727</v>
      </c>
      <c r="H358" s="2" t="s">
        <v>64</v>
      </c>
      <c r="I358" s="2" t="s">
        <v>44</v>
      </c>
      <c r="J358" s="2">
        <v>10.0</v>
      </c>
      <c r="K358" s="4">
        <v>8532.9</v>
      </c>
      <c r="L358" s="5">
        <v>85329.0</v>
      </c>
      <c r="N358" s="2" t="str">
        <f>IF(Table1[Quantity] &gt; 2, "Bulk Order", "Standard Order")</f>
        <v>Bulk Order</v>
      </c>
    </row>
    <row r="359" ht="15.75" customHeight="1">
      <c r="A359" s="2" t="s">
        <v>1005</v>
      </c>
      <c r="B359" s="3">
        <v>46000.0</v>
      </c>
      <c r="C359" s="2" t="s">
        <v>1006</v>
      </c>
      <c r="D359" s="2" t="s">
        <v>1007</v>
      </c>
      <c r="E359" s="2">
        <v>49.0</v>
      </c>
      <c r="F359" s="2" t="s">
        <v>29</v>
      </c>
      <c r="G359" s="2" t="s">
        <v>727</v>
      </c>
      <c r="H359" s="2" t="s">
        <v>60</v>
      </c>
      <c r="I359" s="2" t="s">
        <v>43</v>
      </c>
      <c r="J359" s="2">
        <v>7.0</v>
      </c>
      <c r="K359" s="4">
        <v>31899.76</v>
      </c>
      <c r="L359" s="5">
        <v>223298.32</v>
      </c>
      <c r="N359" s="2" t="str">
        <f>IF(Table1[Quantity] &gt; 2, "Bulk Order", "Standard Order")</f>
        <v>Bulk Order</v>
      </c>
    </row>
    <row r="360" ht="15.75" customHeight="1">
      <c r="A360" s="2" t="s">
        <v>1008</v>
      </c>
      <c r="B360" s="3">
        <v>45710.0</v>
      </c>
      <c r="C360" s="2" t="s">
        <v>1009</v>
      </c>
      <c r="D360" s="2" t="s">
        <v>1010</v>
      </c>
      <c r="E360" s="2">
        <v>31.0</v>
      </c>
      <c r="F360" s="2" t="s">
        <v>29</v>
      </c>
      <c r="G360" s="2" t="s">
        <v>727</v>
      </c>
      <c r="H360" s="2" t="s">
        <v>31</v>
      </c>
      <c r="I360" s="2" t="s">
        <v>32</v>
      </c>
      <c r="J360" s="2">
        <v>1.0</v>
      </c>
      <c r="K360" s="4">
        <v>6976.56</v>
      </c>
      <c r="L360" s="5">
        <v>6976.56</v>
      </c>
      <c r="N360" s="2" t="str">
        <f>IF(Table1[Quantity] &gt; 2, "Bulk Order", "Standard Order")</f>
        <v>Standard Order</v>
      </c>
    </row>
    <row r="361" ht="15.75" customHeight="1">
      <c r="A361" s="2" t="s">
        <v>1011</v>
      </c>
      <c r="B361" s="3">
        <v>45796.0</v>
      </c>
      <c r="C361" s="2" t="s">
        <v>1012</v>
      </c>
      <c r="D361" s="2" t="s">
        <v>166</v>
      </c>
      <c r="E361" s="2">
        <v>58.0</v>
      </c>
      <c r="F361" s="2" t="s">
        <v>29</v>
      </c>
      <c r="G361" s="2" t="s">
        <v>727</v>
      </c>
      <c r="H361" s="2" t="s">
        <v>74</v>
      </c>
      <c r="I361" s="2" t="s">
        <v>45</v>
      </c>
      <c r="J361" s="2">
        <v>3.0</v>
      </c>
      <c r="K361" s="4">
        <v>33517.79</v>
      </c>
      <c r="L361" s="5">
        <v>100553.37</v>
      </c>
      <c r="N361" s="2" t="str">
        <f>IF(Table1[Quantity] &gt; 2, "Bulk Order", "Standard Order")</f>
        <v>Bulk Order</v>
      </c>
    </row>
    <row r="362" ht="15.75" customHeight="1">
      <c r="A362" s="2" t="s">
        <v>1013</v>
      </c>
      <c r="B362" s="3">
        <v>45948.0</v>
      </c>
      <c r="C362" s="2" t="s">
        <v>1014</v>
      </c>
      <c r="D362" s="2" t="s">
        <v>1015</v>
      </c>
      <c r="E362" s="2">
        <v>57.0</v>
      </c>
      <c r="F362" s="2" t="s">
        <v>37</v>
      </c>
      <c r="G362" s="2" t="s">
        <v>727</v>
      </c>
      <c r="H362" s="2" t="s">
        <v>74</v>
      </c>
      <c r="I362" s="2" t="s">
        <v>45</v>
      </c>
      <c r="J362" s="2">
        <v>2.0</v>
      </c>
      <c r="K362" s="4">
        <v>46527.93</v>
      </c>
      <c r="L362" s="5">
        <v>93055.86</v>
      </c>
      <c r="N362" s="2" t="str">
        <f>IF(Table1[Quantity] &gt; 2, "Bulk Order", "Standard Order")</f>
        <v>Standard Order</v>
      </c>
    </row>
    <row r="363" ht="15.75" customHeight="1">
      <c r="A363" s="2" t="s">
        <v>1016</v>
      </c>
      <c r="B363" s="3">
        <v>45968.0</v>
      </c>
      <c r="C363" s="2" t="s">
        <v>1017</v>
      </c>
      <c r="D363" s="2" t="s">
        <v>1018</v>
      </c>
      <c r="E363" s="2">
        <v>61.0</v>
      </c>
      <c r="F363" s="2" t="s">
        <v>37</v>
      </c>
      <c r="G363" s="2" t="s">
        <v>727</v>
      </c>
      <c r="H363" s="2" t="s">
        <v>60</v>
      </c>
      <c r="I363" s="2" t="s">
        <v>43</v>
      </c>
      <c r="J363" s="2">
        <v>9.0</v>
      </c>
      <c r="K363" s="4">
        <v>35405.54</v>
      </c>
      <c r="L363" s="5">
        <v>318649.86</v>
      </c>
      <c r="N363" s="2" t="str">
        <f>IF(Table1[Quantity] &gt; 2, "Bulk Order", "Standard Order")</f>
        <v>Bulk Order</v>
      </c>
    </row>
    <row r="364" ht="15.75" customHeight="1">
      <c r="A364" s="2" t="s">
        <v>1019</v>
      </c>
      <c r="B364" s="3">
        <v>45903.0</v>
      </c>
      <c r="C364" s="2" t="s">
        <v>1020</v>
      </c>
      <c r="D364" s="2" t="s">
        <v>1021</v>
      </c>
      <c r="E364" s="2">
        <v>25.0</v>
      </c>
      <c r="F364" s="2" t="s">
        <v>37</v>
      </c>
      <c r="G364" s="2" t="s">
        <v>727</v>
      </c>
      <c r="H364" s="2" t="s">
        <v>64</v>
      </c>
      <c r="I364" s="2" t="s">
        <v>44</v>
      </c>
      <c r="J364" s="2">
        <v>5.0</v>
      </c>
      <c r="K364" s="4">
        <v>18454.65</v>
      </c>
      <c r="L364" s="5">
        <v>92273.25</v>
      </c>
      <c r="N364" s="2" t="str">
        <f>IF(Table1[Quantity] &gt; 2, "Bulk Order", "Standard Order")</f>
        <v>Bulk Order</v>
      </c>
    </row>
    <row r="365" ht="15.75" customHeight="1">
      <c r="A365" s="2" t="s">
        <v>1022</v>
      </c>
      <c r="B365" s="3">
        <v>45770.0</v>
      </c>
      <c r="C365" s="2" t="s">
        <v>1023</v>
      </c>
      <c r="D365" s="2" t="s">
        <v>776</v>
      </c>
      <c r="E365" s="2">
        <v>58.0</v>
      </c>
      <c r="F365" s="2" t="s">
        <v>29</v>
      </c>
      <c r="G365" s="2" t="s">
        <v>727</v>
      </c>
      <c r="H365" s="2" t="s">
        <v>74</v>
      </c>
      <c r="I365" s="2" t="s">
        <v>45</v>
      </c>
      <c r="J365" s="2">
        <v>9.0</v>
      </c>
      <c r="K365" s="4">
        <v>22493.87</v>
      </c>
      <c r="L365" s="5">
        <v>202444.83</v>
      </c>
      <c r="N365" s="2" t="str">
        <f>IF(Table1[Quantity] &gt; 2, "Bulk Order", "Standard Order")</f>
        <v>Bulk Order</v>
      </c>
    </row>
    <row r="366" ht="15.75" customHeight="1">
      <c r="A366" s="2" t="s">
        <v>1024</v>
      </c>
      <c r="B366" s="3">
        <v>46022.0</v>
      </c>
      <c r="C366" s="2" t="s">
        <v>1025</v>
      </c>
      <c r="D366" s="2" t="s">
        <v>692</v>
      </c>
      <c r="E366" s="2">
        <v>40.0</v>
      </c>
      <c r="F366" s="2" t="s">
        <v>29</v>
      </c>
      <c r="G366" s="2" t="s">
        <v>1026</v>
      </c>
      <c r="H366" s="2" t="s">
        <v>60</v>
      </c>
      <c r="I366" s="2" t="s">
        <v>43</v>
      </c>
      <c r="J366" s="2">
        <v>9.0</v>
      </c>
      <c r="K366" s="4">
        <v>35947.47</v>
      </c>
      <c r="L366" s="5">
        <v>323527.23</v>
      </c>
      <c r="N366" s="2" t="str">
        <f>IF(Table1[Quantity] &gt; 2, "Bulk Order", "Standard Order")</f>
        <v>Bulk Order</v>
      </c>
    </row>
    <row r="367" ht="15.75" customHeight="1">
      <c r="A367" s="2" t="s">
        <v>1027</v>
      </c>
      <c r="B367" s="3">
        <v>45808.0</v>
      </c>
      <c r="C367" s="2" t="s">
        <v>1028</v>
      </c>
      <c r="D367" s="2" t="s">
        <v>1029</v>
      </c>
      <c r="E367" s="2">
        <v>50.0</v>
      </c>
      <c r="F367" s="2" t="s">
        <v>29</v>
      </c>
      <c r="G367" s="2" t="s">
        <v>1026</v>
      </c>
      <c r="H367" s="2" t="s">
        <v>56</v>
      </c>
      <c r="I367" s="2" t="s">
        <v>43</v>
      </c>
      <c r="J367" s="2">
        <v>5.0</v>
      </c>
      <c r="K367" s="4">
        <v>44365.94</v>
      </c>
      <c r="L367" s="5">
        <v>221829.7</v>
      </c>
      <c r="N367" s="2" t="str">
        <f>IF(Table1[Quantity] &gt; 2, "Bulk Order", "Standard Order")</f>
        <v>Bulk Order</v>
      </c>
    </row>
    <row r="368" ht="15.75" customHeight="1">
      <c r="A368" s="2" t="s">
        <v>1030</v>
      </c>
      <c r="B368" s="3">
        <v>45773.0</v>
      </c>
      <c r="C368" s="2" t="s">
        <v>1031</v>
      </c>
      <c r="D368" s="2" t="s">
        <v>1032</v>
      </c>
      <c r="E368" s="2">
        <v>27.0</v>
      </c>
      <c r="F368" s="2" t="s">
        <v>29</v>
      </c>
      <c r="G368" s="2" t="s">
        <v>1026</v>
      </c>
      <c r="H368" s="2" t="s">
        <v>64</v>
      </c>
      <c r="I368" s="2" t="s">
        <v>44</v>
      </c>
      <c r="J368" s="2">
        <v>9.0</v>
      </c>
      <c r="K368" s="4">
        <v>1491.63</v>
      </c>
      <c r="L368" s="5">
        <v>13424.67</v>
      </c>
      <c r="N368" s="2" t="str">
        <f>IF(Table1[Quantity] &gt; 2, "Bulk Order", "Standard Order")</f>
        <v>Bulk Order</v>
      </c>
    </row>
    <row r="369" ht="15.75" customHeight="1">
      <c r="A369" s="2" t="s">
        <v>1033</v>
      </c>
      <c r="B369" s="3">
        <v>45926.0</v>
      </c>
      <c r="C369" s="2" t="s">
        <v>1034</v>
      </c>
      <c r="D369" s="2" t="s">
        <v>384</v>
      </c>
      <c r="E369" s="2">
        <v>21.0</v>
      </c>
      <c r="F369" s="2" t="s">
        <v>37</v>
      </c>
      <c r="G369" s="2" t="s">
        <v>1026</v>
      </c>
      <c r="H369" s="2" t="s">
        <v>74</v>
      </c>
      <c r="I369" s="2" t="s">
        <v>45</v>
      </c>
      <c r="J369" s="2">
        <v>6.0</v>
      </c>
      <c r="K369" s="4">
        <v>46235.96</v>
      </c>
      <c r="L369" s="5">
        <v>277415.76</v>
      </c>
      <c r="N369" s="2" t="str">
        <f>IF(Table1[Quantity] &gt; 2, "Bulk Order", "Standard Order")</f>
        <v>Bulk Order</v>
      </c>
    </row>
    <row r="370" ht="15.75" customHeight="1">
      <c r="A370" s="2" t="s">
        <v>1035</v>
      </c>
      <c r="B370" s="3">
        <v>45832.0</v>
      </c>
      <c r="C370" s="2" t="s">
        <v>1036</v>
      </c>
      <c r="D370" s="2" t="s">
        <v>599</v>
      </c>
      <c r="E370" s="2">
        <v>40.0</v>
      </c>
      <c r="F370" s="2" t="s">
        <v>29</v>
      </c>
      <c r="G370" s="2" t="s">
        <v>1026</v>
      </c>
      <c r="H370" s="2" t="s">
        <v>42</v>
      </c>
      <c r="I370" s="2" t="s">
        <v>41</v>
      </c>
      <c r="J370" s="2">
        <v>5.0</v>
      </c>
      <c r="K370" s="4">
        <v>41282.63</v>
      </c>
      <c r="L370" s="5">
        <v>206413.15</v>
      </c>
      <c r="N370" s="2" t="str">
        <f>IF(Table1[Quantity] &gt; 2, "Bulk Order", "Standard Order")</f>
        <v>Bulk Order</v>
      </c>
    </row>
    <row r="371" ht="15.75" customHeight="1">
      <c r="A371" s="2" t="s">
        <v>1037</v>
      </c>
      <c r="B371" s="3">
        <v>45894.0</v>
      </c>
      <c r="C371" s="2" t="s">
        <v>1038</v>
      </c>
      <c r="D371" s="2" t="s">
        <v>130</v>
      </c>
      <c r="E371" s="2">
        <v>52.0</v>
      </c>
      <c r="F371" s="2" t="s">
        <v>29</v>
      </c>
      <c r="G371" s="2" t="s">
        <v>1026</v>
      </c>
      <c r="H371" s="2" t="s">
        <v>64</v>
      </c>
      <c r="I371" s="2" t="s">
        <v>44</v>
      </c>
      <c r="J371" s="2">
        <v>5.0</v>
      </c>
      <c r="K371" s="4">
        <v>29219.72</v>
      </c>
      <c r="L371" s="5">
        <v>146098.6</v>
      </c>
      <c r="N371" s="2" t="str">
        <f>IF(Table1[Quantity] &gt; 2, "Bulk Order", "Standard Order")</f>
        <v>Bulk Order</v>
      </c>
    </row>
    <row r="372" ht="15.75" customHeight="1">
      <c r="A372" s="2" t="s">
        <v>1039</v>
      </c>
      <c r="B372" s="3">
        <v>45901.0</v>
      </c>
      <c r="C372" s="2" t="s">
        <v>1040</v>
      </c>
      <c r="D372" s="2" t="s">
        <v>730</v>
      </c>
      <c r="E372" s="2">
        <v>25.0</v>
      </c>
      <c r="F372" s="2" t="s">
        <v>29</v>
      </c>
      <c r="G372" s="2" t="s">
        <v>1026</v>
      </c>
      <c r="H372" s="2" t="s">
        <v>42</v>
      </c>
      <c r="I372" s="2" t="s">
        <v>41</v>
      </c>
      <c r="J372" s="2">
        <v>6.0</v>
      </c>
      <c r="K372" s="4">
        <v>5849.89</v>
      </c>
      <c r="L372" s="5">
        <v>35099.34</v>
      </c>
      <c r="N372" s="2" t="str">
        <f>IF(Table1[Quantity] &gt; 2, "Bulk Order", "Standard Order")</f>
        <v>Bulk Order</v>
      </c>
    </row>
    <row r="373" ht="15.75" customHeight="1">
      <c r="A373" s="2" t="s">
        <v>1041</v>
      </c>
      <c r="B373" s="3">
        <v>45663.0</v>
      </c>
      <c r="C373" s="2" t="s">
        <v>1042</v>
      </c>
      <c r="D373" s="2" t="s">
        <v>458</v>
      </c>
      <c r="E373" s="2">
        <v>30.0</v>
      </c>
      <c r="F373" s="2" t="s">
        <v>37</v>
      </c>
      <c r="G373" s="2" t="s">
        <v>1026</v>
      </c>
      <c r="H373" s="2" t="s">
        <v>60</v>
      </c>
      <c r="I373" s="2" t="s">
        <v>43</v>
      </c>
      <c r="J373" s="2">
        <v>9.0</v>
      </c>
      <c r="K373" s="4">
        <v>48845.5</v>
      </c>
      <c r="L373" s="5">
        <v>439609.5</v>
      </c>
      <c r="N373" s="2" t="str">
        <f>IF(Table1[Quantity] &gt; 2, "Bulk Order", "Standard Order")</f>
        <v>Bulk Order</v>
      </c>
    </row>
    <row r="374" ht="15.75" customHeight="1">
      <c r="A374" s="2" t="s">
        <v>1043</v>
      </c>
      <c r="B374" s="3">
        <v>45893.0</v>
      </c>
      <c r="C374" s="2" t="s">
        <v>1044</v>
      </c>
      <c r="D374" s="2" t="s">
        <v>1045</v>
      </c>
      <c r="E374" s="2">
        <v>51.0</v>
      </c>
      <c r="F374" s="2" t="s">
        <v>37</v>
      </c>
      <c r="G374" s="2" t="s">
        <v>1026</v>
      </c>
      <c r="H374" s="2" t="s">
        <v>42</v>
      </c>
      <c r="I374" s="2" t="s">
        <v>41</v>
      </c>
      <c r="J374" s="2">
        <v>10.0</v>
      </c>
      <c r="K374" s="4">
        <v>13662.66</v>
      </c>
      <c r="L374" s="5">
        <v>136626.6</v>
      </c>
      <c r="N374" s="2" t="str">
        <f>IF(Table1[Quantity] &gt; 2, "Bulk Order", "Standard Order")</f>
        <v>Bulk Order</v>
      </c>
    </row>
    <row r="375" ht="15.75" customHeight="1">
      <c r="A375" s="2" t="s">
        <v>1046</v>
      </c>
      <c r="B375" s="3">
        <v>45959.0</v>
      </c>
      <c r="C375" s="2" t="s">
        <v>1047</v>
      </c>
      <c r="D375" s="2" t="s">
        <v>1048</v>
      </c>
      <c r="E375" s="2">
        <v>21.0</v>
      </c>
      <c r="F375" s="2" t="s">
        <v>29</v>
      </c>
      <c r="G375" s="2" t="s">
        <v>1026</v>
      </c>
      <c r="H375" s="2" t="s">
        <v>42</v>
      </c>
      <c r="I375" s="2" t="s">
        <v>41</v>
      </c>
      <c r="J375" s="2">
        <v>9.0</v>
      </c>
      <c r="K375" s="4">
        <v>13111.39</v>
      </c>
      <c r="L375" s="5">
        <v>118002.51</v>
      </c>
      <c r="N375" s="2" t="str">
        <f>IF(Table1[Quantity] &gt; 2, "Bulk Order", "Standard Order")</f>
        <v>Bulk Order</v>
      </c>
    </row>
    <row r="376" ht="15.75" customHeight="1">
      <c r="A376" s="2" t="s">
        <v>1049</v>
      </c>
      <c r="B376" s="3">
        <v>45808.0</v>
      </c>
      <c r="C376" s="2" t="s">
        <v>1050</v>
      </c>
      <c r="D376" s="2" t="s">
        <v>1051</v>
      </c>
      <c r="E376" s="2">
        <v>38.0</v>
      </c>
      <c r="F376" s="2" t="s">
        <v>37</v>
      </c>
      <c r="G376" s="2" t="s">
        <v>1026</v>
      </c>
      <c r="H376" s="2" t="s">
        <v>31</v>
      </c>
      <c r="I376" s="2" t="s">
        <v>32</v>
      </c>
      <c r="J376" s="2">
        <v>5.0</v>
      </c>
      <c r="K376" s="4">
        <v>15127.88</v>
      </c>
      <c r="L376" s="5">
        <v>75639.4</v>
      </c>
      <c r="N376" s="2" t="str">
        <f>IF(Table1[Quantity] &gt; 2, "Bulk Order", "Standard Order")</f>
        <v>Bulk Order</v>
      </c>
    </row>
    <row r="377" ht="15.75" customHeight="1">
      <c r="A377" s="2" t="s">
        <v>1052</v>
      </c>
      <c r="B377" s="3">
        <v>45679.0</v>
      </c>
      <c r="C377" s="2" t="s">
        <v>1053</v>
      </c>
      <c r="D377" s="2" t="s">
        <v>1054</v>
      </c>
      <c r="E377" s="2">
        <v>32.0</v>
      </c>
      <c r="F377" s="2" t="s">
        <v>37</v>
      </c>
      <c r="G377" s="2" t="s">
        <v>1026</v>
      </c>
      <c r="H377" s="2" t="s">
        <v>56</v>
      </c>
      <c r="I377" s="2" t="s">
        <v>43</v>
      </c>
      <c r="J377" s="2">
        <v>10.0</v>
      </c>
      <c r="K377" s="4">
        <v>40745.55</v>
      </c>
      <c r="L377" s="5">
        <v>407455.5</v>
      </c>
      <c r="N377" s="2" t="str">
        <f>IF(Table1[Quantity] &gt; 2, "Bulk Order", "Standard Order")</f>
        <v>Bulk Order</v>
      </c>
    </row>
    <row r="378" ht="15.75" customHeight="1">
      <c r="A378" s="2" t="s">
        <v>1055</v>
      </c>
      <c r="B378" s="3">
        <v>45945.0</v>
      </c>
      <c r="C378" s="2" t="s">
        <v>1056</v>
      </c>
      <c r="D378" s="2" t="s">
        <v>1021</v>
      </c>
      <c r="E378" s="2">
        <v>44.0</v>
      </c>
      <c r="F378" s="2" t="s">
        <v>37</v>
      </c>
      <c r="G378" s="2" t="s">
        <v>1026</v>
      </c>
      <c r="H378" s="2" t="s">
        <v>74</v>
      </c>
      <c r="I378" s="2" t="s">
        <v>45</v>
      </c>
      <c r="J378" s="2">
        <v>3.0</v>
      </c>
      <c r="K378" s="4">
        <v>42806.52</v>
      </c>
      <c r="L378" s="5">
        <v>128419.56</v>
      </c>
      <c r="N378" s="2" t="str">
        <f>IF(Table1[Quantity] &gt; 2, "Bulk Order", "Standard Order")</f>
        <v>Bulk Order</v>
      </c>
    </row>
    <row r="379" ht="15.75" customHeight="1">
      <c r="A379" s="2" t="s">
        <v>1057</v>
      </c>
      <c r="B379" s="3">
        <v>45849.0</v>
      </c>
      <c r="C379" s="2" t="s">
        <v>1058</v>
      </c>
      <c r="D379" s="2" t="s">
        <v>738</v>
      </c>
      <c r="E379" s="2">
        <v>35.0</v>
      </c>
      <c r="F379" s="2" t="s">
        <v>29</v>
      </c>
      <c r="G379" s="2" t="s">
        <v>1026</v>
      </c>
      <c r="H379" s="2" t="s">
        <v>42</v>
      </c>
      <c r="I379" s="2" t="s">
        <v>41</v>
      </c>
      <c r="J379" s="2">
        <v>10.0</v>
      </c>
      <c r="K379" s="4">
        <v>10391.75</v>
      </c>
      <c r="L379" s="5">
        <v>103917.5</v>
      </c>
      <c r="N379" s="2" t="str">
        <f>IF(Table1[Quantity] &gt; 2, "Bulk Order", "Standard Order")</f>
        <v>Bulk Order</v>
      </c>
    </row>
    <row r="380" ht="15.75" customHeight="1">
      <c r="A380" s="2" t="s">
        <v>1059</v>
      </c>
      <c r="B380" s="3">
        <v>45701.0</v>
      </c>
      <c r="C380" s="2" t="s">
        <v>1060</v>
      </c>
      <c r="D380" s="2" t="s">
        <v>1061</v>
      </c>
      <c r="E380" s="2">
        <v>63.0</v>
      </c>
      <c r="F380" s="2" t="s">
        <v>29</v>
      </c>
      <c r="G380" s="2" t="s">
        <v>1026</v>
      </c>
      <c r="H380" s="2" t="s">
        <v>60</v>
      </c>
      <c r="I380" s="2" t="s">
        <v>43</v>
      </c>
      <c r="J380" s="2">
        <v>9.0</v>
      </c>
      <c r="K380" s="4">
        <v>41053.56</v>
      </c>
      <c r="L380" s="5">
        <v>369482.04</v>
      </c>
      <c r="N380" s="2" t="str">
        <f>IF(Table1[Quantity] &gt; 2, "Bulk Order", "Standard Order")</f>
        <v>Bulk Order</v>
      </c>
    </row>
    <row r="381" ht="15.75" customHeight="1">
      <c r="A381" s="2" t="s">
        <v>1062</v>
      </c>
      <c r="B381" s="3">
        <v>45757.0</v>
      </c>
      <c r="C381" s="2" t="s">
        <v>1063</v>
      </c>
      <c r="D381" s="2" t="s">
        <v>387</v>
      </c>
      <c r="E381" s="2">
        <v>49.0</v>
      </c>
      <c r="F381" s="2" t="s">
        <v>29</v>
      </c>
      <c r="G381" s="2" t="s">
        <v>1026</v>
      </c>
      <c r="H381" s="2" t="s">
        <v>56</v>
      </c>
      <c r="I381" s="2" t="s">
        <v>43</v>
      </c>
      <c r="J381" s="2">
        <v>4.0</v>
      </c>
      <c r="K381" s="4">
        <v>41640.74</v>
      </c>
      <c r="L381" s="5">
        <v>166562.96</v>
      </c>
      <c r="N381" s="2" t="str">
        <f>IF(Table1[Quantity] &gt; 2, "Bulk Order", "Standard Order")</f>
        <v>Bulk Order</v>
      </c>
    </row>
    <row r="382" ht="15.75" customHeight="1">
      <c r="A382" s="2" t="s">
        <v>1064</v>
      </c>
      <c r="B382" s="3">
        <v>45981.0</v>
      </c>
      <c r="C382" s="2" t="s">
        <v>1065</v>
      </c>
      <c r="D382" s="2" t="s">
        <v>201</v>
      </c>
      <c r="E382" s="2">
        <v>23.0</v>
      </c>
      <c r="F382" s="2" t="s">
        <v>37</v>
      </c>
      <c r="G382" s="2" t="s">
        <v>1026</v>
      </c>
      <c r="H382" s="2" t="s">
        <v>56</v>
      </c>
      <c r="I382" s="2" t="s">
        <v>43</v>
      </c>
      <c r="J382" s="2">
        <v>7.0</v>
      </c>
      <c r="K382" s="4">
        <v>16254.12</v>
      </c>
      <c r="L382" s="5">
        <v>113778.84</v>
      </c>
      <c r="N382" s="2" t="str">
        <f>IF(Table1[Quantity] &gt; 2, "Bulk Order", "Standard Order")</f>
        <v>Bulk Order</v>
      </c>
    </row>
    <row r="383" ht="15.75" customHeight="1">
      <c r="A383" s="2" t="s">
        <v>1066</v>
      </c>
      <c r="B383" s="3">
        <v>45846.0</v>
      </c>
      <c r="C383" s="2" t="s">
        <v>1067</v>
      </c>
      <c r="D383" s="2" t="s">
        <v>1068</v>
      </c>
      <c r="E383" s="2">
        <v>53.0</v>
      </c>
      <c r="F383" s="2" t="s">
        <v>37</v>
      </c>
      <c r="G383" s="2" t="s">
        <v>1026</v>
      </c>
      <c r="H383" s="2" t="s">
        <v>64</v>
      </c>
      <c r="I383" s="2" t="s">
        <v>44</v>
      </c>
      <c r="J383" s="2">
        <v>5.0</v>
      </c>
      <c r="K383" s="4">
        <v>3805.27</v>
      </c>
      <c r="L383" s="5">
        <v>19026.35</v>
      </c>
      <c r="N383" s="2" t="str">
        <f>IF(Table1[Quantity] &gt; 2, "Bulk Order", "Standard Order")</f>
        <v>Bulk Order</v>
      </c>
    </row>
    <row r="384" ht="15.75" customHeight="1">
      <c r="A384" s="2" t="s">
        <v>1069</v>
      </c>
      <c r="B384" s="3">
        <v>45671.0</v>
      </c>
      <c r="C384" s="2" t="s">
        <v>1070</v>
      </c>
      <c r="D384" s="2" t="s">
        <v>1071</v>
      </c>
      <c r="E384" s="2">
        <v>33.0</v>
      </c>
      <c r="F384" s="2" t="s">
        <v>37</v>
      </c>
      <c r="G384" s="2" t="s">
        <v>1026</v>
      </c>
      <c r="H384" s="2" t="s">
        <v>42</v>
      </c>
      <c r="I384" s="2" t="s">
        <v>41</v>
      </c>
      <c r="J384" s="2">
        <v>7.0</v>
      </c>
      <c r="K384" s="4">
        <v>46489.41</v>
      </c>
      <c r="L384" s="5">
        <v>325425.87</v>
      </c>
      <c r="N384" s="2" t="str">
        <f>IF(Table1[Quantity] &gt; 2, "Bulk Order", "Standard Order")</f>
        <v>Bulk Order</v>
      </c>
    </row>
    <row r="385" ht="15.75" customHeight="1">
      <c r="A385" s="2" t="s">
        <v>1072</v>
      </c>
      <c r="B385" s="3">
        <v>45751.0</v>
      </c>
      <c r="C385" s="2" t="s">
        <v>1073</v>
      </c>
      <c r="D385" s="2" t="s">
        <v>1061</v>
      </c>
      <c r="E385" s="2">
        <v>18.0</v>
      </c>
      <c r="F385" s="2" t="s">
        <v>37</v>
      </c>
      <c r="G385" s="2" t="s">
        <v>1026</v>
      </c>
      <c r="H385" s="2" t="s">
        <v>56</v>
      </c>
      <c r="I385" s="2" t="s">
        <v>43</v>
      </c>
      <c r="J385" s="2">
        <v>7.0</v>
      </c>
      <c r="K385" s="4">
        <v>17321.68</v>
      </c>
      <c r="L385" s="5">
        <v>121251.76</v>
      </c>
      <c r="N385" s="2" t="str">
        <f>IF(Table1[Quantity] &gt; 2, "Bulk Order", "Standard Order")</f>
        <v>Bulk Order</v>
      </c>
    </row>
    <row r="386" ht="15.75" customHeight="1">
      <c r="A386" s="2" t="s">
        <v>1074</v>
      </c>
      <c r="B386" s="3">
        <v>45920.0</v>
      </c>
      <c r="C386" s="2" t="s">
        <v>1075</v>
      </c>
      <c r="D386" s="2" t="s">
        <v>227</v>
      </c>
      <c r="E386" s="2">
        <v>55.0</v>
      </c>
      <c r="F386" s="2" t="s">
        <v>37</v>
      </c>
      <c r="G386" s="2" t="s">
        <v>1026</v>
      </c>
      <c r="H386" s="2" t="s">
        <v>74</v>
      </c>
      <c r="I386" s="2" t="s">
        <v>45</v>
      </c>
      <c r="J386" s="2">
        <v>10.0</v>
      </c>
      <c r="K386" s="4">
        <v>1085.13</v>
      </c>
      <c r="L386" s="5">
        <v>10851.3</v>
      </c>
      <c r="N386" s="2" t="str">
        <f>IF(Table1[Quantity] &gt; 2, "Bulk Order", "Standard Order")</f>
        <v>Bulk Order</v>
      </c>
    </row>
    <row r="387" ht="15.75" customHeight="1">
      <c r="A387" s="2" t="s">
        <v>1076</v>
      </c>
      <c r="B387" s="3">
        <v>46023.0</v>
      </c>
      <c r="C387" s="2" t="s">
        <v>1077</v>
      </c>
      <c r="D387" s="2" t="s">
        <v>1078</v>
      </c>
      <c r="E387" s="2">
        <v>41.0</v>
      </c>
      <c r="F387" s="2" t="s">
        <v>29</v>
      </c>
      <c r="G387" s="2" t="s">
        <v>1026</v>
      </c>
      <c r="H387" s="2" t="s">
        <v>31</v>
      </c>
      <c r="I387" s="2" t="s">
        <v>32</v>
      </c>
      <c r="J387" s="2">
        <v>4.0</v>
      </c>
      <c r="K387" s="4">
        <v>35300.11</v>
      </c>
      <c r="L387" s="5">
        <v>141200.44</v>
      </c>
      <c r="N387" s="2" t="str">
        <f>IF(Table1[Quantity] &gt; 2, "Bulk Order", "Standard Order")</f>
        <v>Bulk Order</v>
      </c>
    </row>
    <row r="388" ht="15.75" customHeight="1">
      <c r="A388" s="2" t="s">
        <v>1079</v>
      </c>
      <c r="B388" s="3">
        <v>45950.0</v>
      </c>
      <c r="C388" s="2" t="s">
        <v>1080</v>
      </c>
      <c r="D388" s="2" t="s">
        <v>1081</v>
      </c>
      <c r="E388" s="2">
        <v>54.0</v>
      </c>
      <c r="F388" s="2" t="s">
        <v>29</v>
      </c>
      <c r="G388" s="2" t="s">
        <v>1026</v>
      </c>
      <c r="H388" s="2" t="s">
        <v>42</v>
      </c>
      <c r="I388" s="2" t="s">
        <v>41</v>
      </c>
      <c r="J388" s="2">
        <v>5.0</v>
      </c>
      <c r="K388" s="4">
        <v>25053.25</v>
      </c>
      <c r="L388" s="5">
        <v>125266.25</v>
      </c>
      <c r="N388" s="2" t="str">
        <f>IF(Table1[Quantity] &gt; 2, "Bulk Order", "Standard Order")</f>
        <v>Bulk Order</v>
      </c>
    </row>
    <row r="389" ht="15.75" customHeight="1">
      <c r="A389" s="2" t="s">
        <v>1082</v>
      </c>
      <c r="B389" s="3">
        <v>45683.0</v>
      </c>
      <c r="C389" s="2" t="s">
        <v>1083</v>
      </c>
      <c r="D389" s="2" t="s">
        <v>1084</v>
      </c>
      <c r="E389" s="2">
        <v>18.0</v>
      </c>
      <c r="F389" s="2" t="s">
        <v>37</v>
      </c>
      <c r="G389" s="2" t="s">
        <v>1026</v>
      </c>
      <c r="H389" s="2" t="s">
        <v>31</v>
      </c>
      <c r="I389" s="2" t="s">
        <v>32</v>
      </c>
      <c r="J389" s="2">
        <v>2.0</v>
      </c>
      <c r="K389" s="4">
        <v>21856.64</v>
      </c>
      <c r="L389" s="5">
        <v>43713.28</v>
      </c>
      <c r="N389" s="2" t="str">
        <f>IF(Table1[Quantity] &gt; 2, "Bulk Order", "Standard Order")</f>
        <v>Standard Order</v>
      </c>
    </row>
    <row r="390" ht="15.75" customHeight="1">
      <c r="A390" s="2" t="s">
        <v>1085</v>
      </c>
      <c r="B390" s="3">
        <v>45672.0</v>
      </c>
      <c r="C390" s="2" t="s">
        <v>1086</v>
      </c>
      <c r="D390" s="2" t="s">
        <v>834</v>
      </c>
      <c r="E390" s="2">
        <v>34.0</v>
      </c>
      <c r="F390" s="2" t="s">
        <v>29</v>
      </c>
      <c r="G390" s="2" t="s">
        <v>1026</v>
      </c>
      <c r="H390" s="2" t="s">
        <v>60</v>
      </c>
      <c r="I390" s="2" t="s">
        <v>43</v>
      </c>
      <c r="J390" s="2">
        <v>5.0</v>
      </c>
      <c r="K390" s="4">
        <v>2983.97</v>
      </c>
      <c r="L390" s="5">
        <v>14919.85</v>
      </c>
      <c r="N390" s="2" t="str">
        <f>IF(Table1[Quantity] &gt; 2, "Bulk Order", "Standard Order")</f>
        <v>Bulk Order</v>
      </c>
    </row>
    <row r="391" ht="15.75" customHeight="1">
      <c r="A391" s="2" t="s">
        <v>1087</v>
      </c>
      <c r="B391" s="3">
        <v>45813.0</v>
      </c>
      <c r="C391" s="2" t="s">
        <v>1088</v>
      </c>
      <c r="D391" s="2" t="s">
        <v>1089</v>
      </c>
      <c r="E391" s="2">
        <v>25.0</v>
      </c>
      <c r="F391" s="2" t="s">
        <v>37</v>
      </c>
      <c r="G391" s="2" t="s">
        <v>1026</v>
      </c>
      <c r="H391" s="2" t="s">
        <v>60</v>
      </c>
      <c r="I391" s="2" t="s">
        <v>43</v>
      </c>
      <c r="J391" s="2">
        <v>6.0</v>
      </c>
      <c r="K391" s="4">
        <v>9132.85</v>
      </c>
      <c r="L391" s="5">
        <v>54797.1</v>
      </c>
      <c r="N391" s="2" t="str">
        <f>IF(Table1[Quantity] &gt; 2, "Bulk Order", "Standard Order")</f>
        <v>Bulk Order</v>
      </c>
    </row>
    <row r="392" ht="15.75" customHeight="1">
      <c r="A392" s="2" t="s">
        <v>1090</v>
      </c>
      <c r="B392" s="3">
        <v>45726.0</v>
      </c>
      <c r="C392" s="2" t="s">
        <v>673</v>
      </c>
      <c r="D392" s="2" t="s">
        <v>1091</v>
      </c>
      <c r="E392" s="2">
        <v>61.0</v>
      </c>
      <c r="F392" s="2" t="s">
        <v>29</v>
      </c>
      <c r="G392" s="2" t="s">
        <v>1026</v>
      </c>
      <c r="H392" s="2" t="s">
        <v>60</v>
      </c>
      <c r="I392" s="2" t="s">
        <v>43</v>
      </c>
      <c r="J392" s="2">
        <v>8.0</v>
      </c>
      <c r="K392" s="4">
        <v>18088.02</v>
      </c>
      <c r="L392" s="5">
        <v>144704.16</v>
      </c>
      <c r="N392" s="2" t="str">
        <f>IF(Table1[Quantity] &gt; 2, "Bulk Order", "Standard Order")</f>
        <v>Bulk Order</v>
      </c>
    </row>
    <row r="393" ht="15.75" customHeight="1">
      <c r="A393" s="2" t="s">
        <v>1092</v>
      </c>
      <c r="B393" s="3">
        <v>45725.0</v>
      </c>
      <c r="C393" s="2" t="s">
        <v>1093</v>
      </c>
      <c r="D393" s="2" t="s">
        <v>1094</v>
      </c>
      <c r="E393" s="2">
        <v>55.0</v>
      </c>
      <c r="F393" s="2" t="s">
        <v>29</v>
      </c>
      <c r="G393" s="2" t="s">
        <v>1026</v>
      </c>
      <c r="H393" s="2" t="s">
        <v>42</v>
      </c>
      <c r="I393" s="2" t="s">
        <v>41</v>
      </c>
      <c r="J393" s="2">
        <v>1.0</v>
      </c>
      <c r="K393" s="4">
        <v>16714.64</v>
      </c>
      <c r="L393" s="5">
        <v>16714.64</v>
      </c>
      <c r="N393" s="2" t="str">
        <f>IF(Table1[Quantity] &gt; 2, "Bulk Order", "Standard Order")</f>
        <v>Standard Order</v>
      </c>
    </row>
    <row r="394" ht="15.75" customHeight="1">
      <c r="A394" s="2" t="s">
        <v>1095</v>
      </c>
      <c r="B394" s="3">
        <v>45894.0</v>
      </c>
      <c r="C394" s="2" t="s">
        <v>1096</v>
      </c>
      <c r="D394" s="2" t="s">
        <v>1097</v>
      </c>
      <c r="E394" s="2">
        <v>44.0</v>
      </c>
      <c r="F394" s="2" t="s">
        <v>29</v>
      </c>
      <c r="G394" s="2" t="s">
        <v>1026</v>
      </c>
      <c r="H394" s="2" t="s">
        <v>64</v>
      </c>
      <c r="I394" s="2" t="s">
        <v>44</v>
      </c>
      <c r="J394" s="2">
        <v>10.0</v>
      </c>
      <c r="K394" s="4">
        <v>17713.87</v>
      </c>
      <c r="L394" s="5">
        <v>177138.7</v>
      </c>
      <c r="N394" s="2" t="str">
        <f>IF(Table1[Quantity] &gt; 2, "Bulk Order", "Standard Order")</f>
        <v>Bulk Order</v>
      </c>
    </row>
    <row r="395" ht="15.75" customHeight="1">
      <c r="A395" s="2" t="s">
        <v>1098</v>
      </c>
      <c r="B395" s="3">
        <v>45856.0</v>
      </c>
      <c r="C395" s="2" t="s">
        <v>1099</v>
      </c>
      <c r="D395" s="2" t="s">
        <v>73</v>
      </c>
      <c r="E395" s="2">
        <v>43.0</v>
      </c>
      <c r="F395" s="2" t="s">
        <v>29</v>
      </c>
      <c r="G395" s="2" t="s">
        <v>1026</v>
      </c>
      <c r="H395" s="2" t="s">
        <v>64</v>
      </c>
      <c r="I395" s="2" t="s">
        <v>44</v>
      </c>
      <c r="J395" s="2">
        <v>1.0</v>
      </c>
      <c r="K395" s="4">
        <v>29838.32</v>
      </c>
      <c r="L395" s="5">
        <v>29838.32</v>
      </c>
      <c r="N395" s="2" t="str">
        <f>IF(Table1[Quantity] &gt; 2, "Bulk Order", "Standard Order")</f>
        <v>Standard Order</v>
      </c>
    </row>
    <row r="396" ht="15.75" customHeight="1">
      <c r="A396" s="2" t="s">
        <v>1100</v>
      </c>
      <c r="B396" s="3">
        <v>45670.0</v>
      </c>
      <c r="C396" s="2" t="s">
        <v>1101</v>
      </c>
      <c r="D396" s="2" t="s">
        <v>762</v>
      </c>
      <c r="E396" s="2">
        <v>25.0</v>
      </c>
      <c r="F396" s="2" t="s">
        <v>29</v>
      </c>
      <c r="G396" s="2" t="s">
        <v>1026</v>
      </c>
      <c r="H396" s="2" t="s">
        <v>31</v>
      </c>
      <c r="I396" s="2" t="s">
        <v>32</v>
      </c>
      <c r="J396" s="2">
        <v>4.0</v>
      </c>
      <c r="K396" s="4">
        <v>15549.95</v>
      </c>
      <c r="L396" s="5">
        <v>62199.8</v>
      </c>
      <c r="N396" s="2" t="str">
        <f>IF(Table1[Quantity] &gt; 2, "Bulk Order", "Standard Order")</f>
        <v>Bulk Order</v>
      </c>
    </row>
    <row r="397" ht="15.75" customHeight="1">
      <c r="A397" s="2" t="s">
        <v>1102</v>
      </c>
      <c r="B397" s="3">
        <v>45914.0</v>
      </c>
      <c r="C397" s="2" t="s">
        <v>1103</v>
      </c>
      <c r="D397" s="2" t="s">
        <v>1104</v>
      </c>
      <c r="E397" s="2">
        <v>23.0</v>
      </c>
      <c r="F397" s="2" t="s">
        <v>29</v>
      </c>
      <c r="G397" s="2" t="s">
        <v>1026</v>
      </c>
      <c r="H397" s="2" t="s">
        <v>60</v>
      </c>
      <c r="I397" s="2" t="s">
        <v>43</v>
      </c>
      <c r="J397" s="2">
        <v>1.0</v>
      </c>
      <c r="K397" s="4">
        <v>34192.3</v>
      </c>
      <c r="L397" s="5">
        <v>34192.3</v>
      </c>
      <c r="N397" s="2" t="str">
        <f>IF(Table1[Quantity] &gt; 2, "Bulk Order", "Standard Order")</f>
        <v>Standard Order</v>
      </c>
    </row>
    <row r="398" ht="15.75" customHeight="1">
      <c r="A398" s="2" t="s">
        <v>1105</v>
      </c>
      <c r="B398" s="3">
        <v>45774.0</v>
      </c>
      <c r="C398" s="2" t="s">
        <v>1106</v>
      </c>
      <c r="D398" s="2" t="s">
        <v>1107</v>
      </c>
      <c r="E398" s="2">
        <v>65.0</v>
      </c>
      <c r="F398" s="2" t="s">
        <v>29</v>
      </c>
      <c r="G398" s="2" t="s">
        <v>1026</v>
      </c>
      <c r="H398" s="2" t="s">
        <v>42</v>
      </c>
      <c r="I398" s="2" t="s">
        <v>41</v>
      </c>
      <c r="J398" s="2">
        <v>2.0</v>
      </c>
      <c r="K398" s="4">
        <v>12214.1</v>
      </c>
      <c r="L398" s="5">
        <v>24428.2</v>
      </c>
      <c r="N398" s="2" t="str">
        <f>IF(Table1[Quantity] &gt; 2, "Bulk Order", "Standard Order")</f>
        <v>Standard Order</v>
      </c>
    </row>
    <row r="399" ht="15.75" customHeight="1">
      <c r="A399" s="2" t="s">
        <v>1108</v>
      </c>
      <c r="B399" s="3">
        <v>45754.0</v>
      </c>
      <c r="C399" s="2" t="s">
        <v>1109</v>
      </c>
      <c r="D399" s="2" t="s">
        <v>310</v>
      </c>
      <c r="E399" s="2">
        <v>22.0</v>
      </c>
      <c r="F399" s="2" t="s">
        <v>37</v>
      </c>
      <c r="G399" s="2" t="s">
        <v>1026</v>
      </c>
      <c r="H399" s="2" t="s">
        <v>60</v>
      </c>
      <c r="I399" s="2" t="s">
        <v>43</v>
      </c>
      <c r="J399" s="2">
        <v>4.0</v>
      </c>
      <c r="K399" s="4">
        <v>33205.94</v>
      </c>
      <c r="L399" s="5">
        <v>132823.76</v>
      </c>
      <c r="N399" s="2" t="str">
        <f>IF(Table1[Quantity] &gt; 2, "Bulk Order", "Standard Order")</f>
        <v>Bulk Order</v>
      </c>
    </row>
    <row r="400" ht="15.75" customHeight="1">
      <c r="A400" s="2" t="s">
        <v>1110</v>
      </c>
      <c r="B400" s="3">
        <v>45711.0</v>
      </c>
      <c r="C400" s="2" t="s">
        <v>1111</v>
      </c>
      <c r="D400" s="2" t="s">
        <v>635</v>
      </c>
      <c r="E400" s="2">
        <v>38.0</v>
      </c>
      <c r="F400" s="2" t="s">
        <v>37</v>
      </c>
      <c r="G400" s="2" t="s">
        <v>1026</v>
      </c>
      <c r="H400" s="2" t="s">
        <v>42</v>
      </c>
      <c r="I400" s="2" t="s">
        <v>41</v>
      </c>
      <c r="J400" s="2">
        <v>6.0</v>
      </c>
      <c r="K400" s="4">
        <v>25562.3</v>
      </c>
      <c r="L400" s="5">
        <v>153373.8</v>
      </c>
      <c r="N400" s="2" t="str">
        <f>IF(Table1[Quantity] &gt; 2, "Bulk Order", "Standard Order")</f>
        <v>Bulk Order</v>
      </c>
    </row>
    <row r="401" ht="15.75" customHeight="1">
      <c r="A401" s="2" t="s">
        <v>1112</v>
      </c>
      <c r="B401" s="3">
        <v>46013.0</v>
      </c>
      <c r="C401" s="2" t="s">
        <v>1113</v>
      </c>
      <c r="D401" s="2" t="s">
        <v>1114</v>
      </c>
      <c r="E401" s="2">
        <v>34.0</v>
      </c>
      <c r="F401" s="2" t="s">
        <v>29</v>
      </c>
      <c r="G401" s="2" t="s">
        <v>1026</v>
      </c>
      <c r="H401" s="2" t="s">
        <v>60</v>
      </c>
      <c r="I401" s="2" t="s">
        <v>43</v>
      </c>
      <c r="J401" s="2">
        <v>8.0</v>
      </c>
      <c r="K401" s="4">
        <v>4159.17</v>
      </c>
      <c r="L401" s="5">
        <v>33273.36</v>
      </c>
      <c r="N401" s="2" t="str">
        <f>IF(Table1[Quantity] &gt; 2, "Bulk Order", "Standard Order")</f>
        <v>Bulk Order</v>
      </c>
    </row>
    <row r="402" ht="15.75" customHeight="1">
      <c r="A402" s="2" t="s">
        <v>1115</v>
      </c>
      <c r="B402" s="3">
        <v>45808.0</v>
      </c>
      <c r="C402" s="2" t="s">
        <v>1116</v>
      </c>
      <c r="D402" s="2" t="s">
        <v>1107</v>
      </c>
      <c r="E402" s="2">
        <v>51.0</v>
      </c>
      <c r="F402" s="2" t="s">
        <v>37</v>
      </c>
      <c r="G402" s="2" t="s">
        <v>1026</v>
      </c>
      <c r="H402" s="2" t="s">
        <v>31</v>
      </c>
      <c r="I402" s="2" t="s">
        <v>32</v>
      </c>
      <c r="J402" s="2">
        <v>4.0</v>
      </c>
      <c r="K402" s="4">
        <v>44577.29</v>
      </c>
      <c r="L402" s="5">
        <v>178309.16</v>
      </c>
      <c r="N402" s="2" t="str">
        <f>IF(Table1[Quantity] &gt; 2, "Bulk Order", "Standard Order")</f>
        <v>Bulk Order</v>
      </c>
    </row>
    <row r="403" ht="15.75" customHeight="1">
      <c r="A403" s="2" t="s">
        <v>1117</v>
      </c>
      <c r="B403" s="3">
        <v>45680.0</v>
      </c>
      <c r="C403" s="2" t="s">
        <v>1118</v>
      </c>
      <c r="D403" s="2" t="s">
        <v>1119</v>
      </c>
      <c r="E403" s="2">
        <v>19.0</v>
      </c>
      <c r="F403" s="2" t="s">
        <v>29</v>
      </c>
      <c r="G403" s="2" t="s">
        <v>1026</v>
      </c>
      <c r="H403" s="2" t="s">
        <v>74</v>
      </c>
      <c r="I403" s="2" t="s">
        <v>45</v>
      </c>
      <c r="J403" s="2">
        <v>10.0</v>
      </c>
      <c r="K403" s="4">
        <v>30855.5</v>
      </c>
      <c r="L403" s="5">
        <v>308555.0</v>
      </c>
      <c r="N403" s="2" t="str">
        <f>IF(Table1[Quantity] &gt; 2, "Bulk Order", "Standard Order")</f>
        <v>Bulk Order</v>
      </c>
    </row>
    <row r="404" ht="15.75" customHeight="1">
      <c r="A404" s="2" t="s">
        <v>1120</v>
      </c>
      <c r="B404" s="3">
        <v>45897.0</v>
      </c>
      <c r="C404" s="2" t="s">
        <v>1121</v>
      </c>
      <c r="D404" s="2" t="s">
        <v>458</v>
      </c>
      <c r="E404" s="2">
        <v>26.0</v>
      </c>
      <c r="F404" s="2" t="s">
        <v>37</v>
      </c>
      <c r="G404" s="2" t="s">
        <v>1026</v>
      </c>
      <c r="H404" s="2" t="s">
        <v>42</v>
      </c>
      <c r="I404" s="2" t="s">
        <v>41</v>
      </c>
      <c r="J404" s="2">
        <v>2.0</v>
      </c>
      <c r="K404" s="4">
        <v>32168.36</v>
      </c>
      <c r="L404" s="5">
        <v>64336.72</v>
      </c>
      <c r="N404" s="2" t="str">
        <f>IF(Table1[Quantity] &gt; 2, "Bulk Order", "Standard Order")</f>
        <v>Standard Order</v>
      </c>
    </row>
    <row r="405" ht="15.75" customHeight="1">
      <c r="A405" s="2" t="s">
        <v>1122</v>
      </c>
      <c r="B405" s="3">
        <v>45677.0</v>
      </c>
      <c r="C405" s="2" t="s">
        <v>614</v>
      </c>
      <c r="D405" s="2" t="s">
        <v>1123</v>
      </c>
      <c r="E405" s="2">
        <v>32.0</v>
      </c>
      <c r="F405" s="2" t="s">
        <v>37</v>
      </c>
      <c r="G405" s="2" t="s">
        <v>1026</v>
      </c>
      <c r="H405" s="2" t="s">
        <v>74</v>
      </c>
      <c r="I405" s="2" t="s">
        <v>45</v>
      </c>
      <c r="J405" s="2">
        <v>3.0</v>
      </c>
      <c r="K405" s="4">
        <v>15948.34</v>
      </c>
      <c r="L405" s="5">
        <v>47845.02</v>
      </c>
      <c r="N405" s="2" t="str">
        <f>IF(Table1[Quantity] &gt; 2, "Bulk Order", "Standard Order")</f>
        <v>Bulk Order</v>
      </c>
    </row>
    <row r="406" ht="15.75" customHeight="1">
      <c r="A406" s="2" t="s">
        <v>1124</v>
      </c>
      <c r="B406" s="3">
        <v>45830.0</v>
      </c>
      <c r="C406" s="2" t="s">
        <v>1125</v>
      </c>
      <c r="D406" s="2" t="s">
        <v>615</v>
      </c>
      <c r="E406" s="2">
        <v>21.0</v>
      </c>
      <c r="F406" s="2" t="s">
        <v>37</v>
      </c>
      <c r="G406" s="2" t="s">
        <v>1026</v>
      </c>
      <c r="H406" s="2" t="s">
        <v>31</v>
      </c>
      <c r="I406" s="2" t="s">
        <v>32</v>
      </c>
      <c r="J406" s="2">
        <v>4.0</v>
      </c>
      <c r="K406" s="4">
        <v>25906.46</v>
      </c>
      <c r="L406" s="5">
        <v>103625.84</v>
      </c>
      <c r="N406" s="2" t="str">
        <f>IF(Table1[Quantity] &gt; 2, "Bulk Order", "Standard Order")</f>
        <v>Bulk Order</v>
      </c>
    </row>
    <row r="407" ht="15.75" customHeight="1">
      <c r="A407" s="2" t="s">
        <v>1126</v>
      </c>
      <c r="B407" s="3">
        <v>45781.0</v>
      </c>
      <c r="C407" s="2" t="s">
        <v>1127</v>
      </c>
      <c r="D407" s="2" t="s">
        <v>1128</v>
      </c>
      <c r="E407" s="2">
        <v>35.0</v>
      </c>
      <c r="F407" s="2" t="s">
        <v>37</v>
      </c>
      <c r="G407" s="2" t="s">
        <v>1026</v>
      </c>
      <c r="H407" s="2" t="s">
        <v>74</v>
      </c>
      <c r="I407" s="2" t="s">
        <v>45</v>
      </c>
      <c r="J407" s="2">
        <v>10.0</v>
      </c>
      <c r="K407" s="4">
        <v>36331.75</v>
      </c>
      <c r="L407" s="5">
        <v>363317.5</v>
      </c>
      <c r="N407" s="2" t="str">
        <f>IF(Table1[Quantity] &gt; 2, "Bulk Order", "Standard Order")</f>
        <v>Bulk Order</v>
      </c>
    </row>
    <row r="408" ht="15.75" customHeight="1">
      <c r="A408" s="2" t="s">
        <v>1129</v>
      </c>
      <c r="B408" s="3">
        <v>45947.0</v>
      </c>
      <c r="C408" s="2" t="s">
        <v>1130</v>
      </c>
      <c r="D408" s="2" t="s">
        <v>1131</v>
      </c>
      <c r="E408" s="2">
        <v>18.0</v>
      </c>
      <c r="F408" s="2" t="s">
        <v>37</v>
      </c>
      <c r="G408" s="2" t="s">
        <v>1026</v>
      </c>
      <c r="H408" s="2" t="s">
        <v>64</v>
      </c>
      <c r="I408" s="2" t="s">
        <v>44</v>
      </c>
      <c r="J408" s="2">
        <v>2.0</v>
      </c>
      <c r="K408" s="4">
        <v>45034.12</v>
      </c>
      <c r="L408" s="5">
        <v>90068.24</v>
      </c>
      <c r="N408" s="2" t="str">
        <f>IF(Table1[Quantity] &gt; 2, "Bulk Order", "Standard Order")</f>
        <v>Standard Order</v>
      </c>
    </row>
    <row r="409" ht="15.75" customHeight="1">
      <c r="A409" s="2" t="s">
        <v>1132</v>
      </c>
      <c r="B409" s="3">
        <v>45953.0</v>
      </c>
      <c r="C409" s="2" t="s">
        <v>1133</v>
      </c>
      <c r="D409" s="2" t="s">
        <v>568</v>
      </c>
      <c r="E409" s="2">
        <v>64.0</v>
      </c>
      <c r="F409" s="2" t="s">
        <v>29</v>
      </c>
      <c r="G409" s="2" t="s">
        <v>1026</v>
      </c>
      <c r="H409" s="2" t="s">
        <v>31</v>
      </c>
      <c r="I409" s="2" t="s">
        <v>32</v>
      </c>
      <c r="J409" s="2">
        <v>2.0</v>
      </c>
      <c r="K409" s="4">
        <v>40768.5</v>
      </c>
      <c r="L409" s="5">
        <v>81537.0</v>
      </c>
      <c r="N409" s="2" t="str">
        <f>IF(Table1[Quantity] &gt; 2, "Bulk Order", "Standard Order")</f>
        <v>Standard Order</v>
      </c>
    </row>
    <row r="410" ht="15.75" customHeight="1">
      <c r="A410" s="2" t="s">
        <v>1134</v>
      </c>
      <c r="B410" s="3">
        <v>45718.0</v>
      </c>
      <c r="C410" s="2" t="s">
        <v>1135</v>
      </c>
      <c r="D410" s="2" t="s">
        <v>1136</v>
      </c>
      <c r="E410" s="2">
        <v>41.0</v>
      </c>
      <c r="F410" s="2" t="s">
        <v>29</v>
      </c>
      <c r="G410" s="2" t="s">
        <v>1026</v>
      </c>
      <c r="H410" s="2" t="s">
        <v>31</v>
      </c>
      <c r="I410" s="2" t="s">
        <v>32</v>
      </c>
      <c r="J410" s="2">
        <v>4.0</v>
      </c>
      <c r="K410" s="4">
        <v>6495.5</v>
      </c>
      <c r="L410" s="5">
        <v>25982.0</v>
      </c>
      <c r="N410" s="2" t="str">
        <f>IF(Table1[Quantity] &gt; 2, "Bulk Order", "Standard Order")</f>
        <v>Bulk Order</v>
      </c>
    </row>
    <row r="411" ht="15.75" customHeight="1">
      <c r="A411" s="2" t="s">
        <v>1137</v>
      </c>
      <c r="B411" s="3">
        <v>45842.0</v>
      </c>
      <c r="C411" s="2" t="s">
        <v>1138</v>
      </c>
      <c r="D411" s="2" t="s">
        <v>184</v>
      </c>
      <c r="E411" s="2">
        <v>30.0</v>
      </c>
      <c r="F411" s="2" t="s">
        <v>29</v>
      </c>
      <c r="G411" s="2" t="s">
        <v>1026</v>
      </c>
      <c r="H411" s="2" t="s">
        <v>42</v>
      </c>
      <c r="I411" s="2" t="s">
        <v>41</v>
      </c>
      <c r="J411" s="2">
        <v>4.0</v>
      </c>
      <c r="K411" s="4">
        <v>49876.67</v>
      </c>
      <c r="L411" s="5">
        <v>199506.68</v>
      </c>
      <c r="N411" s="2" t="str">
        <f>IF(Table1[Quantity] &gt; 2, "Bulk Order", "Standard Order")</f>
        <v>Bulk Order</v>
      </c>
    </row>
    <row r="412" ht="15.75" customHeight="1">
      <c r="A412" s="2" t="s">
        <v>1139</v>
      </c>
      <c r="B412" s="3">
        <v>45908.0</v>
      </c>
      <c r="C412" s="2" t="s">
        <v>1140</v>
      </c>
      <c r="D412" s="2" t="s">
        <v>190</v>
      </c>
      <c r="E412" s="2">
        <v>56.0</v>
      </c>
      <c r="F412" s="2" t="s">
        <v>37</v>
      </c>
      <c r="G412" s="2" t="s">
        <v>1026</v>
      </c>
      <c r="H412" s="2" t="s">
        <v>64</v>
      </c>
      <c r="I412" s="2" t="s">
        <v>44</v>
      </c>
      <c r="J412" s="2">
        <v>4.0</v>
      </c>
      <c r="K412" s="4">
        <v>40276.76</v>
      </c>
      <c r="L412" s="5">
        <v>161107.04</v>
      </c>
      <c r="N412" s="2" t="str">
        <f>IF(Table1[Quantity] &gt; 2, "Bulk Order", "Standard Order")</f>
        <v>Bulk Order</v>
      </c>
    </row>
    <row r="413" ht="15.75" customHeight="1">
      <c r="A413" s="2" t="s">
        <v>1141</v>
      </c>
      <c r="B413" s="3">
        <v>45973.0</v>
      </c>
      <c r="C413" s="2" t="s">
        <v>1142</v>
      </c>
      <c r="D413" s="2" t="s">
        <v>1143</v>
      </c>
      <c r="E413" s="2">
        <v>64.0</v>
      </c>
      <c r="F413" s="2" t="s">
        <v>37</v>
      </c>
      <c r="G413" s="2" t="s">
        <v>1026</v>
      </c>
      <c r="H413" s="2" t="s">
        <v>56</v>
      </c>
      <c r="I413" s="2" t="s">
        <v>43</v>
      </c>
      <c r="J413" s="2">
        <v>8.0</v>
      </c>
      <c r="K413" s="4">
        <v>17270.72</v>
      </c>
      <c r="L413" s="5">
        <v>138165.76</v>
      </c>
      <c r="N413" s="2" t="str">
        <f>IF(Table1[Quantity] &gt; 2, "Bulk Order", "Standard Order")</f>
        <v>Bulk Order</v>
      </c>
    </row>
    <row r="414" ht="15.75" customHeight="1">
      <c r="A414" s="2" t="s">
        <v>1144</v>
      </c>
      <c r="B414" s="3">
        <v>45953.0</v>
      </c>
      <c r="C414" s="2" t="s">
        <v>1145</v>
      </c>
      <c r="D414" s="2" t="s">
        <v>1146</v>
      </c>
      <c r="E414" s="2">
        <v>64.0</v>
      </c>
      <c r="F414" s="2" t="s">
        <v>29</v>
      </c>
      <c r="G414" s="2" t="s">
        <v>1026</v>
      </c>
      <c r="H414" s="2" t="s">
        <v>42</v>
      </c>
      <c r="I414" s="2" t="s">
        <v>41</v>
      </c>
      <c r="J414" s="2">
        <v>6.0</v>
      </c>
      <c r="K414" s="4">
        <v>8249.36</v>
      </c>
      <c r="L414" s="5">
        <v>49496.16</v>
      </c>
      <c r="N414" s="2" t="str">
        <f>IF(Table1[Quantity] &gt; 2, "Bulk Order", "Standard Order")</f>
        <v>Bulk Order</v>
      </c>
    </row>
    <row r="415" ht="15.75" customHeight="1">
      <c r="A415" s="2" t="s">
        <v>1147</v>
      </c>
      <c r="B415" s="3">
        <v>45713.0</v>
      </c>
      <c r="C415" s="2" t="s">
        <v>398</v>
      </c>
      <c r="D415" s="2" t="s">
        <v>107</v>
      </c>
      <c r="E415" s="2">
        <v>37.0</v>
      </c>
      <c r="F415" s="2" t="s">
        <v>29</v>
      </c>
      <c r="G415" s="2" t="s">
        <v>1026</v>
      </c>
      <c r="H415" s="2" t="s">
        <v>42</v>
      </c>
      <c r="I415" s="2" t="s">
        <v>41</v>
      </c>
      <c r="J415" s="2">
        <v>4.0</v>
      </c>
      <c r="K415" s="4">
        <v>47319.13</v>
      </c>
      <c r="L415" s="5">
        <v>189276.52</v>
      </c>
      <c r="N415" s="2" t="str">
        <f>IF(Table1[Quantity] &gt; 2, "Bulk Order", "Standard Order")</f>
        <v>Bulk Order</v>
      </c>
    </row>
    <row r="416" ht="15.75" customHeight="1">
      <c r="A416" s="2" t="s">
        <v>1148</v>
      </c>
      <c r="B416" s="3">
        <v>45858.0</v>
      </c>
      <c r="C416" s="2" t="s">
        <v>1149</v>
      </c>
      <c r="D416" s="2" t="s">
        <v>297</v>
      </c>
      <c r="E416" s="2">
        <v>54.0</v>
      </c>
      <c r="F416" s="2" t="s">
        <v>29</v>
      </c>
      <c r="G416" s="2" t="s">
        <v>1026</v>
      </c>
      <c r="H416" s="2" t="s">
        <v>42</v>
      </c>
      <c r="I416" s="2" t="s">
        <v>41</v>
      </c>
      <c r="J416" s="2">
        <v>4.0</v>
      </c>
      <c r="K416" s="4">
        <v>28385.87</v>
      </c>
      <c r="L416" s="5">
        <v>113543.48</v>
      </c>
      <c r="N416" s="2" t="str">
        <f>IF(Table1[Quantity] &gt; 2, "Bulk Order", "Standard Order")</f>
        <v>Bulk Order</v>
      </c>
    </row>
    <row r="417" ht="15.75" customHeight="1">
      <c r="A417" s="2" t="s">
        <v>1150</v>
      </c>
      <c r="B417" s="3">
        <v>45886.0</v>
      </c>
      <c r="C417" s="2" t="s">
        <v>1151</v>
      </c>
      <c r="D417" s="2" t="s">
        <v>695</v>
      </c>
      <c r="E417" s="2">
        <v>55.0</v>
      </c>
      <c r="F417" s="2" t="s">
        <v>29</v>
      </c>
      <c r="G417" s="2" t="s">
        <v>1026</v>
      </c>
      <c r="H417" s="2" t="s">
        <v>42</v>
      </c>
      <c r="I417" s="2" t="s">
        <v>41</v>
      </c>
      <c r="J417" s="2">
        <v>1.0</v>
      </c>
      <c r="K417" s="4">
        <v>5053.68</v>
      </c>
      <c r="L417" s="5">
        <v>5053.68</v>
      </c>
      <c r="N417" s="2" t="str">
        <f>IF(Table1[Quantity] &gt; 2, "Bulk Order", "Standard Order")</f>
        <v>Standard Order</v>
      </c>
    </row>
    <row r="418" ht="15.75" customHeight="1">
      <c r="A418" s="2" t="s">
        <v>1152</v>
      </c>
      <c r="B418" s="3">
        <v>45934.0</v>
      </c>
      <c r="C418" s="2" t="s">
        <v>1153</v>
      </c>
      <c r="D418" s="2" t="s">
        <v>467</v>
      </c>
      <c r="E418" s="2">
        <v>39.0</v>
      </c>
      <c r="F418" s="2" t="s">
        <v>37</v>
      </c>
      <c r="G418" s="2" t="s">
        <v>1026</v>
      </c>
      <c r="H418" s="2" t="s">
        <v>42</v>
      </c>
      <c r="I418" s="2" t="s">
        <v>41</v>
      </c>
      <c r="J418" s="2">
        <v>9.0</v>
      </c>
      <c r="K418" s="4">
        <v>41871.43</v>
      </c>
      <c r="L418" s="5">
        <v>376842.87</v>
      </c>
      <c r="N418" s="2" t="str">
        <f>IF(Table1[Quantity] &gt; 2, "Bulk Order", "Standard Order")</f>
        <v>Bulk Order</v>
      </c>
    </row>
    <row r="419" ht="15.75" customHeight="1">
      <c r="A419" s="2" t="s">
        <v>1154</v>
      </c>
      <c r="B419" s="3">
        <v>45909.0</v>
      </c>
      <c r="C419" s="2" t="s">
        <v>1155</v>
      </c>
      <c r="D419" s="2" t="s">
        <v>1156</v>
      </c>
      <c r="E419" s="2">
        <v>24.0</v>
      </c>
      <c r="F419" s="2" t="s">
        <v>29</v>
      </c>
      <c r="G419" s="2" t="s">
        <v>1026</v>
      </c>
      <c r="H419" s="2" t="s">
        <v>56</v>
      </c>
      <c r="I419" s="2" t="s">
        <v>43</v>
      </c>
      <c r="J419" s="2">
        <v>3.0</v>
      </c>
      <c r="K419" s="4">
        <v>36239.15</v>
      </c>
      <c r="L419" s="5">
        <v>108717.45</v>
      </c>
      <c r="N419" s="2" t="str">
        <f>IF(Table1[Quantity] &gt; 2, "Bulk Order", "Standard Order")</f>
        <v>Bulk Order</v>
      </c>
    </row>
    <row r="420" ht="15.75" customHeight="1">
      <c r="A420" s="2" t="s">
        <v>1157</v>
      </c>
      <c r="B420" s="3">
        <v>45767.0</v>
      </c>
      <c r="C420" s="2" t="s">
        <v>1158</v>
      </c>
      <c r="D420" s="2" t="s">
        <v>1159</v>
      </c>
      <c r="F420" s="2" t="s">
        <v>29</v>
      </c>
      <c r="G420" s="2" t="s">
        <v>1026</v>
      </c>
      <c r="H420" s="2" t="s">
        <v>42</v>
      </c>
      <c r="I420" s="2" t="s">
        <v>41</v>
      </c>
      <c r="J420" s="2">
        <v>3.0</v>
      </c>
      <c r="K420" s="4">
        <v>26269.62</v>
      </c>
      <c r="L420" s="5">
        <v>78808.86</v>
      </c>
      <c r="N420" s="2" t="str">
        <f>IF(Table1[Quantity] &gt; 2, "Bulk Order", "Standard Order")</f>
        <v>Bulk Order</v>
      </c>
    </row>
    <row r="421" ht="15.75" customHeight="1">
      <c r="A421" s="2" t="s">
        <v>1160</v>
      </c>
      <c r="B421" s="3">
        <v>45716.0</v>
      </c>
      <c r="C421" s="2" t="s">
        <v>1161</v>
      </c>
      <c r="D421" s="2" t="s">
        <v>70</v>
      </c>
      <c r="E421" s="2">
        <v>64.0</v>
      </c>
      <c r="F421" s="2" t="s">
        <v>29</v>
      </c>
      <c r="G421" s="2" t="s">
        <v>1026</v>
      </c>
      <c r="H421" s="2" t="s">
        <v>74</v>
      </c>
      <c r="I421" s="2" t="s">
        <v>45</v>
      </c>
      <c r="J421" s="2">
        <v>1.0</v>
      </c>
      <c r="K421" s="4">
        <v>22534.47</v>
      </c>
      <c r="L421" s="5">
        <v>22534.47</v>
      </c>
      <c r="N421" s="2" t="str">
        <f>IF(Table1[Quantity] &gt; 2, "Bulk Order", "Standard Order")</f>
        <v>Standard Order</v>
      </c>
    </row>
    <row r="422" ht="15.75" customHeight="1">
      <c r="A422" s="2" t="s">
        <v>1162</v>
      </c>
      <c r="B422" s="3">
        <v>46014.0</v>
      </c>
      <c r="C422" s="2" t="s">
        <v>1163</v>
      </c>
      <c r="D422" s="2" t="s">
        <v>172</v>
      </c>
      <c r="E422" s="2">
        <v>24.0</v>
      </c>
      <c r="F422" s="2" t="s">
        <v>37</v>
      </c>
      <c r="G422" s="2" t="s">
        <v>1026</v>
      </c>
      <c r="H422" s="2" t="s">
        <v>60</v>
      </c>
      <c r="I422" s="2" t="s">
        <v>43</v>
      </c>
      <c r="J422" s="2">
        <v>2.0</v>
      </c>
      <c r="K422" s="4">
        <v>25875.53</v>
      </c>
      <c r="L422" s="5">
        <v>51751.06</v>
      </c>
      <c r="N422" s="2" t="str">
        <f>IF(Table1[Quantity] &gt; 2, "Bulk Order", "Standard Order")</f>
        <v>Standard Order</v>
      </c>
    </row>
    <row r="423" ht="15.75" customHeight="1">
      <c r="A423" s="2" t="s">
        <v>1164</v>
      </c>
      <c r="B423" s="3">
        <v>45877.0</v>
      </c>
      <c r="C423" s="2" t="s">
        <v>1165</v>
      </c>
      <c r="D423" s="2" t="s">
        <v>1166</v>
      </c>
      <c r="E423" s="2">
        <v>49.0</v>
      </c>
      <c r="F423" s="2" t="s">
        <v>37</v>
      </c>
      <c r="G423" s="2" t="s">
        <v>1026</v>
      </c>
      <c r="H423" s="2" t="s">
        <v>42</v>
      </c>
      <c r="I423" s="2" t="s">
        <v>41</v>
      </c>
      <c r="J423" s="2">
        <v>6.0</v>
      </c>
      <c r="K423" s="4">
        <v>13857.45</v>
      </c>
      <c r="L423" s="5">
        <v>83144.7</v>
      </c>
      <c r="N423" s="2" t="str">
        <f>IF(Table1[Quantity] &gt; 2, "Bulk Order", "Standard Order")</f>
        <v>Bulk Order</v>
      </c>
    </row>
    <row r="424" ht="15.75" customHeight="1">
      <c r="A424" s="2" t="s">
        <v>1167</v>
      </c>
      <c r="B424" s="3">
        <v>45736.0</v>
      </c>
      <c r="C424" s="2" t="s">
        <v>1168</v>
      </c>
      <c r="D424" s="2" t="s">
        <v>1169</v>
      </c>
      <c r="E424" s="2">
        <v>22.0</v>
      </c>
      <c r="F424" s="2" t="s">
        <v>37</v>
      </c>
      <c r="G424" s="2" t="s">
        <v>1026</v>
      </c>
      <c r="H424" s="2" t="s">
        <v>74</v>
      </c>
      <c r="I424" s="2" t="s">
        <v>45</v>
      </c>
      <c r="J424" s="2">
        <v>10.0</v>
      </c>
      <c r="K424" s="4">
        <v>7127.33</v>
      </c>
      <c r="L424" s="5">
        <v>71273.3</v>
      </c>
      <c r="N424" s="2" t="str">
        <f>IF(Table1[Quantity] &gt; 2, "Bulk Order", "Standard Order")</f>
        <v>Bulk Order</v>
      </c>
    </row>
    <row r="425" ht="15.75" customHeight="1">
      <c r="A425" s="2" t="s">
        <v>1170</v>
      </c>
      <c r="B425" s="3">
        <v>45917.0</v>
      </c>
      <c r="C425" s="2" t="s">
        <v>1171</v>
      </c>
      <c r="D425" s="2" t="s">
        <v>89</v>
      </c>
      <c r="E425" s="2">
        <v>46.0</v>
      </c>
      <c r="F425" s="2" t="s">
        <v>29</v>
      </c>
      <c r="G425" s="2" t="s">
        <v>1026</v>
      </c>
      <c r="H425" s="2" t="s">
        <v>42</v>
      </c>
      <c r="I425" s="2" t="s">
        <v>41</v>
      </c>
      <c r="J425" s="2">
        <v>10.0</v>
      </c>
      <c r="K425" s="4">
        <v>44045.66</v>
      </c>
      <c r="L425" s="5">
        <v>440456.6</v>
      </c>
      <c r="N425" s="2" t="str">
        <f>IF(Table1[Quantity] &gt; 2, "Bulk Order", "Standard Order")</f>
        <v>Bulk Order</v>
      </c>
    </row>
    <row r="426" ht="15.75" customHeight="1">
      <c r="A426" s="2" t="s">
        <v>1172</v>
      </c>
      <c r="B426" s="3">
        <v>45891.0</v>
      </c>
      <c r="C426" s="2" t="s">
        <v>1173</v>
      </c>
      <c r="D426" s="2" t="s">
        <v>1174</v>
      </c>
      <c r="E426" s="2">
        <v>30.0</v>
      </c>
      <c r="F426" s="2" t="s">
        <v>37</v>
      </c>
      <c r="G426" s="2" t="s">
        <v>1026</v>
      </c>
      <c r="H426" s="2" t="s">
        <v>60</v>
      </c>
      <c r="I426" s="2" t="s">
        <v>43</v>
      </c>
      <c r="J426" s="2">
        <v>2.0</v>
      </c>
      <c r="K426" s="4">
        <v>35420.46</v>
      </c>
      <c r="L426" s="5">
        <v>70840.92</v>
      </c>
      <c r="N426" s="2" t="str">
        <f>IF(Table1[Quantity] &gt; 2, "Bulk Order", "Standard Order")</f>
        <v>Standard Order</v>
      </c>
    </row>
    <row r="427" ht="15.75" customHeight="1">
      <c r="A427" s="2" t="s">
        <v>1175</v>
      </c>
      <c r="B427" s="3">
        <v>45832.0</v>
      </c>
      <c r="C427" s="2" t="s">
        <v>1176</v>
      </c>
      <c r="D427" s="2" t="s">
        <v>1177</v>
      </c>
      <c r="E427" s="2">
        <v>28.0</v>
      </c>
      <c r="F427" s="2" t="s">
        <v>37</v>
      </c>
      <c r="G427" s="2" t="s">
        <v>1026</v>
      </c>
      <c r="H427" s="2" t="s">
        <v>74</v>
      </c>
      <c r="I427" s="2" t="s">
        <v>45</v>
      </c>
      <c r="J427" s="2">
        <v>10.0</v>
      </c>
      <c r="K427" s="4">
        <v>24297.48</v>
      </c>
      <c r="L427" s="5">
        <v>242974.8</v>
      </c>
      <c r="N427" s="2" t="str">
        <f>IF(Table1[Quantity] &gt; 2, "Bulk Order", "Standard Order")</f>
        <v>Bulk Order</v>
      </c>
    </row>
    <row r="428" ht="15.75" customHeight="1">
      <c r="A428" s="2" t="s">
        <v>1178</v>
      </c>
      <c r="B428" s="3">
        <v>45763.0</v>
      </c>
      <c r="C428" s="2" t="s">
        <v>1179</v>
      </c>
      <c r="D428" s="2" t="s">
        <v>266</v>
      </c>
      <c r="E428" s="2">
        <v>41.0</v>
      </c>
      <c r="F428" s="2" t="s">
        <v>29</v>
      </c>
      <c r="G428" s="2" t="s">
        <v>1026</v>
      </c>
      <c r="H428" s="2" t="s">
        <v>31</v>
      </c>
      <c r="I428" s="2" t="s">
        <v>32</v>
      </c>
      <c r="J428" s="2">
        <v>5.0</v>
      </c>
      <c r="K428" s="4">
        <v>33535.53</v>
      </c>
      <c r="L428" s="5">
        <v>167677.65</v>
      </c>
      <c r="N428" s="2" t="str">
        <f>IF(Table1[Quantity] &gt; 2, "Bulk Order", "Standard Order")</f>
        <v>Bulk Order</v>
      </c>
    </row>
    <row r="429" ht="15.75" customHeight="1">
      <c r="A429" s="2" t="s">
        <v>1180</v>
      </c>
      <c r="B429" s="3">
        <v>45765.0</v>
      </c>
      <c r="C429" s="2" t="s">
        <v>1181</v>
      </c>
      <c r="D429" s="2" t="s">
        <v>797</v>
      </c>
      <c r="E429" s="2">
        <v>29.0</v>
      </c>
      <c r="F429" s="2" t="s">
        <v>37</v>
      </c>
      <c r="G429" s="2" t="s">
        <v>1026</v>
      </c>
      <c r="H429" s="2" t="s">
        <v>64</v>
      </c>
      <c r="I429" s="2" t="s">
        <v>44</v>
      </c>
      <c r="J429" s="2">
        <v>9.0</v>
      </c>
      <c r="K429" s="4">
        <v>48011.48</v>
      </c>
      <c r="L429" s="5">
        <v>432103.32</v>
      </c>
      <c r="N429" s="2" t="str">
        <f>IF(Table1[Quantity] &gt; 2, "Bulk Order", "Standard Order")</f>
        <v>Bulk Order</v>
      </c>
    </row>
    <row r="430" ht="15.75" customHeight="1">
      <c r="A430" s="2" t="s">
        <v>1182</v>
      </c>
      <c r="B430" s="3">
        <v>45777.0</v>
      </c>
      <c r="C430" s="2" t="s">
        <v>1183</v>
      </c>
      <c r="D430" s="2" t="s">
        <v>1184</v>
      </c>
      <c r="E430" s="2">
        <v>31.0</v>
      </c>
      <c r="F430" s="2" t="s">
        <v>29</v>
      </c>
      <c r="G430" s="2" t="s">
        <v>1026</v>
      </c>
      <c r="H430" s="2" t="s">
        <v>60</v>
      </c>
      <c r="I430" s="2" t="s">
        <v>43</v>
      </c>
      <c r="J430" s="2">
        <v>4.0</v>
      </c>
      <c r="K430" s="4">
        <v>27565.01</v>
      </c>
      <c r="L430" s="5">
        <v>110260.04</v>
      </c>
      <c r="N430" s="2" t="str">
        <f>IF(Table1[Quantity] &gt; 2, "Bulk Order", "Standard Order")</f>
        <v>Bulk Order</v>
      </c>
    </row>
    <row r="431" ht="15.75" customHeight="1">
      <c r="A431" s="2" t="s">
        <v>1185</v>
      </c>
      <c r="B431" s="3">
        <v>45906.0</v>
      </c>
      <c r="C431" s="2" t="s">
        <v>1186</v>
      </c>
      <c r="D431" s="2" t="s">
        <v>480</v>
      </c>
      <c r="E431" s="2">
        <v>61.0</v>
      </c>
      <c r="F431" s="2" t="s">
        <v>29</v>
      </c>
      <c r="G431" s="2" t="s">
        <v>1026</v>
      </c>
      <c r="H431" s="2" t="s">
        <v>74</v>
      </c>
      <c r="I431" s="2" t="s">
        <v>45</v>
      </c>
      <c r="J431" s="2">
        <v>1.0</v>
      </c>
      <c r="K431" s="4">
        <v>12494.97</v>
      </c>
      <c r="L431" s="5">
        <v>12494.97</v>
      </c>
      <c r="N431" s="2" t="str">
        <f>IF(Table1[Quantity] &gt; 2, "Bulk Order", "Standard Order")</f>
        <v>Standard Order</v>
      </c>
    </row>
    <row r="432" ht="15.75" customHeight="1">
      <c r="A432" s="2" t="s">
        <v>1187</v>
      </c>
      <c r="B432" s="3">
        <v>45970.0</v>
      </c>
      <c r="C432" s="2" t="s">
        <v>1188</v>
      </c>
      <c r="D432" s="2" t="s">
        <v>1189</v>
      </c>
      <c r="E432" s="2">
        <v>31.0</v>
      </c>
      <c r="F432" s="2" t="s">
        <v>29</v>
      </c>
      <c r="G432" s="2" t="s">
        <v>1026</v>
      </c>
      <c r="H432" s="2" t="s">
        <v>74</v>
      </c>
      <c r="I432" s="2" t="s">
        <v>45</v>
      </c>
      <c r="J432" s="2">
        <v>2.0</v>
      </c>
      <c r="K432" s="4">
        <v>32458.06</v>
      </c>
      <c r="L432" s="5">
        <v>64916.12</v>
      </c>
      <c r="N432" s="2" t="str">
        <f>IF(Table1[Quantity] &gt; 2, "Bulk Order", "Standard Order")</f>
        <v>Standard Order</v>
      </c>
    </row>
    <row r="433" ht="15.75" customHeight="1">
      <c r="A433" s="2" t="s">
        <v>1190</v>
      </c>
      <c r="B433" s="3">
        <v>45953.0</v>
      </c>
      <c r="C433" s="2" t="s">
        <v>1191</v>
      </c>
      <c r="D433" s="2" t="s">
        <v>421</v>
      </c>
      <c r="E433" s="2">
        <v>47.0</v>
      </c>
      <c r="F433" s="2" t="s">
        <v>37</v>
      </c>
      <c r="G433" s="2" t="s">
        <v>1026</v>
      </c>
      <c r="H433" s="2" t="s">
        <v>31</v>
      </c>
      <c r="I433" s="2" t="s">
        <v>32</v>
      </c>
      <c r="J433" s="2">
        <v>9.0</v>
      </c>
      <c r="K433" s="4">
        <v>32104.55</v>
      </c>
      <c r="L433" s="5">
        <v>288940.95</v>
      </c>
      <c r="N433" s="2" t="str">
        <f>IF(Table1[Quantity] &gt; 2, "Bulk Order", "Standard Order")</f>
        <v>Bulk Order</v>
      </c>
    </row>
    <row r="434" ht="15.75" customHeight="1">
      <c r="A434" s="2" t="s">
        <v>1192</v>
      </c>
      <c r="B434" s="3">
        <v>45808.0</v>
      </c>
      <c r="C434" s="2" t="s">
        <v>1193</v>
      </c>
      <c r="D434" s="2" t="s">
        <v>1194</v>
      </c>
      <c r="E434" s="2">
        <v>64.0</v>
      </c>
      <c r="F434" s="2" t="s">
        <v>37</v>
      </c>
      <c r="G434" s="2" t="s">
        <v>1026</v>
      </c>
      <c r="H434" s="2" t="s">
        <v>42</v>
      </c>
      <c r="I434" s="2" t="s">
        <v>41</v>
      </c>
      <c r="J434" s="2">
        <v>8.0</v>
      </c>
      <c r="K434" s="4">
        <v>13184.14</v>
      </c>
      <c r="L434" s="5">
        <v>105473.12</v>
      </c>
      <c r="N434" s="2" t="str">
        <f>IF(Table1[Quantity] &gt; 2, "Bulk Order", "Standard Order")</f>
        <v>Bulk Order</v>
      </c>
    </row>
    <row r="435" ht="15.75" customHeight="1">
      <c r="A435" s="2" t="s">
        <v>1195</v>
      </c>
      <c r="B435" s="3">
        <v>46000.0</v>
      </c>
      <c r="C435" s="2" t="s">
        <v>1196</v>
      </c>
      <c r="D435" s="2" t="s">
        <v>1197</v>
      </c>
      <c r="E435" s="2">
        <v>21.0</v>
      </c>
      <c r="F435" s="2" t="s">
        <v>37</v>
      </c>
      <c r="G435" s="2" t="s">
        <v>1026</v>
      </c>
      <c r="H435" s="2" t="s">
        <v>56</v>
      </c>
      <c r="I435" s="2" t="s">
        <v>43</v>
      </c>
      <c r="J435" s="2">
        <v>6.0</v>
      </c>
      <c r="K435" s="4">
        <v>21017.46</v>
      </c>
      <c r="L435" s="5">
        <v>126104.76</v>
      </c>
      <c r="N435" s="2" t="str">
        <f>IF(Table1[Quantity] &gt; 2, "Bulk Order", "Standard Order")</f>
        <v>Bulk Order</v>
      </c>
    </row>
    <row r="436" ht="15.75" customHeight="1">
      <c r="A436" s="2" t="s">
        <v>1198</v>
      </c>
      <c r="B436" s="3">
        <v>45721.0</v>
      </c>
      <c r="C436" s="2" t="s">
        <v>1199</v>
      </c>
      <c r="D436" s="2" t="s">
        <v>1200</v>
      </c>
      <c r="E436" s="2">
        <v>18.0</v>
      </c>
      <c r="F436" s="2" t="s">
        <v>29</v>
      </c>
      <c r="G436" s="2" t="s">
        <v>1026</v>
      </c>
      <c r="H436" s="2" t="s">
        <v>42</v>
      </c>
      <c r="I436" s="2" t="s">
        <v>41</v>
      </c>
      <c r="J436" s="2">
        <v>8.0</v>
      </c>
      <c r="K436" s="4">
        <v>1204.93</v>
      </c>
      <c r="L436" s="5">
        <v>9639.44</v>
      </c>
      <c r="N436" s="2" t="str">
        <f>IF(Table1[Quantity] &gt; 2, "Bulk Order", "Standard Order")</f>
        <v>Bulk Order</v>
      </c>
    </row>
    <row r="437" ht="15.75" customHeight="1">
      <c r="A437" s="2" t="s">
        <v>1201</v>
      </c>
      <c r="B437" s="3">
        <v>45732.0</v>
      </c>
      <c r="C437" s="2" t="s">
        <v>1202</v>
      </c>
      <c r="D437" s="2" t="s">
        <v>70</v>
      </c>
      <c r="E437" s="2">
        <v>56.0</v>
      </c>
      <c r="F437" s="2" t="s">
        <v>37</v>
      </c>
      <c r="G437" s="2" t="s">
        <v>1026</v>
      </c>
      <c r="H437" s="2" t="s">
        <v>42</v>
      </c>
      <c r="I437" s="2" t="s">
        <v>41</v>
      </c>
      <c r="J437" s="2">
        <v>3.0</v>
      </c>
      <c r="K437" s="4">
        <v>6301.32</v>
      </c>
      <c r="L437" s="5">
        <v>18903.96</v>
      </c>
      <c r="N437" s="2" t="str">
        <f>IF(Table1[Quantity] &gt; 2, "Bulk Order", "Standard Order")</f>
        <v>Bulk Order</v>
      </c>
    </row>
    <row r="438" ht="15.75" customHeight="1">
      <c r="A438" s="2" t="s">
        <v>1203</v>
      </c>
      <c r="B438" s="3">
        <v>45724.0</v>
      </c>
      <c r="C438" s="2" t="s">
        <v>1204</v>
      </c>
      <c r="D438" s="2" t="s">
        <v>395</v>
      </c>
      <c r="E438" s="2">
        <v>32.0</v>
      </c>
      <c r="F438" s="2" t="s">
        <v>29</v>
      </c>
      <c r="G438" s="2" t="s">
        <v>1026</v>
      </c>
      <c r="H438" s="2" t="s">
        <v>74</v>
      </c>
      <c r="I438" s="2" t="s">
        <v>45</v>
      </c>
      <c r="J438" s="2">
        <v>3.0</v>
      </c>
      <c r="K438" s="4">
        <v>47748.45</v>
      </c>
      <c r="L438" s="5">
        <v>143245.35</v>
      </c>
      <c r="N438" s="2" t="str">
        <f>IF(Table1[Quantity] &gt; 2, "Bulk Order", "Standard Order")</f>
        <v>Bulk Order</v>
      </c>
    </row>
    <row r="439" ht="15.75" customHeight="1">
      <c r="A439" s="2" t="s">
        <v>1205</v>
      </c>
      <c r="B439" s="3">
        <v>45736.0</v>
      </c>
      <c r="C439" s="2" t="s">
        <v>1206</v>
      </c>
      <c r="D439" s="2" t="s">
        <v>73</v>
      </c>
      <c r="E439" s="2">
        <v>42.0</v>
      </c>
      <c r="F439" s="2" t="s">
        <v>37</v>
      </c>
      <c r="G439" s="2" t="s">
        <v>1026</v>
      </c>
      <c r="H439" s="2" t="s">
        <v>42</v>
      </c>
      <c r="I439" s="2" t="s">
        <v>41</v>
      </c>
      <c r="J439" s="2">
        <v>2.0</v>
      </c>
      <c r="K439" s="4">
        <v>5442.06</v>
      </c>
      <c r="L439" s="5">
        <v>10884.12</v>
      </c>
      <c r="N439" s="2" t="str">
        <f>IF(Table1[Quantity] &gt; 2, "Bulk Order", "Standard Order")</f>
        <v>Standard Order</v>
      </c>
    </row>
    <row r="440" ht="15.75" customHeight="1">
      <c r="A440" s="2" t="s">
        <v>1207</v>
      </c>
      <c r="B440" s="3">
        <v>45860.0</v>
      </c>
      <c r="C440" s="2" t="s">
        <v>1208</v>
      </c>
      <c r="D440" s="2" t="s">
        <v>605</v>
      </c>
      <c r="E440" s="2">
        <v>34.0</v>
      </c>
      <c r="F440" s="2" t="s">
        <v>29</v>
      </c>
      <c r="G440" s="2" t="s">
        <v>1026</v>
      </c>
      <c r="H440" s="2" t="s">
        <v>31</v>
      </c>
      <c r="I440" s="2" t="s">
        <v>32</v>
      </c>
      <c r="J440" s="2">
        <v>8.0</v>
      </c>
      <c r="K440" s="4">
        <v>10393.69</v>
      </c>
      <c r="L440" s="5">
        <v>83149.52</v>
      </c>
      <c r="N440" s="2" t="str">
        <f>IF(Table1[Quantity] &gt; 2, "Bulk Order", "Standard Order")</f>
        <v>Bulk Order</v>
      </c>
    </row>
    <row r="441" ht="15.75" customHeight="1">
      <c r="A441" s="2" t="s">
        <v>1209</v>
      </c>
      <c r="B441" s="3">
        <v>45701.0</v>
      </c>
      <c r="C441" s="2" t="s">
        <v>1210</v>
      </c>
      <c r="D441" s="2" t="s">
        <v>1211</v>
      </c>
      <c r="E441" s="2">
        <v>62.0</v>
      </c>
      <c r="F441" s="2" t="s">
        <v>29</v>
      </c>
      <c r="G441" s="2" t="s">
        <v>1026</v>
      </c>
      <c r="H441" s="2" t="s">
        <v>64</v>
      </c>
      <c r="I441" s="2" t="s">
        <v>44</v>
      </c>
      <c r="J441" s="2">
        <v>7.0</v>
      </c>
      <c r="K441" s="4">
        <v>38029.64</v>
      </c>
      <c r="L441" s="5">
        <v>266207.48</v>
      </c>
      <c r="N441" s="2" t="str">
        <f>IF(Table1[Quantity] &gt; 2, "Bulk Order", "Standard Order")</f>
        <v>Bulk Order</v>
      </c>
    </row>
    <row r="442" ht="15.75" customHeight="1">
      <c r="A442" s="2" t="s">
        <v>1212</v>
      </c>
      <c r="B442" s="3">
        <v>45829.0</v>
      </c>
      <c r="C442" s="2" t="s">
        <v>1213</v>
      </c>
      <c r="D442" s="2" t="s">
        <v>378</v>
      </c>
      <c r="E442" s="2">
        <v>54.0</v>
      </c>
      <c r="F442" s="2" t="s">
        <v>29</v>
      </c>
      <c r="G442" s="2" t="s">
        <v>1026</v>
      </c>
      <c r="H442" s="2" t="s">
        <v>31</v>
      </c>
      <c r="I442" s="2" t="s">
        <v>32</v>
      </c>
      <c r="J442" s="2">
        <v>10.0</v>
      </c>
      <c r="K442" s="4">
        <v>48255.19</v>
      </c>
      <c r="L442" s="5">
        <v>482551.9</v>
      </c>
      <c r="N442" s="2" t="str">
        <f>IF(Table1[Quantity] &gt; 2, "Bulk Order", "Standard Order")</f>
        <v>Bulk Order</v>
      </c>
    </row>
    <row r="443" ht="15.75" customHeight="1">
      <c r="A443" s="2" t="s">
        <v>1214</v>
      </c>
      <c r="B443" s="3">
        <v>45690.0</v>
      </c>
      <c r="C443" s="2" t="s">
        <v>1215</v>
      </c>
      <c r="D443" s="2" t="s">
        <v>1216</v>
      </c>
      <c r="E443" s="2">
        <v>20.0</v>
      </c>
      <c r="F443" s="2" t="s">
        <v>37</v>
      </c>
      <c r="G443" s="2" t="s">
        <v>1026</v>
      </c>
      <c r="H443" s="2" t="s">
        <v>60</v>
      </c>
      <c r="I443" s="2" t="s">
        <v>43</v>
      </c>
      <c r="J443" s="2">
        <v>3.0</v>
      </c>
      <c r="K443" s="4">
        <v>47466.18</v>
      </c>
      <c r="L443" s="5">
        <v>142398.54</v>
      </c>
      <c r="N443" s="2" t="str">
        <f>IF(Table1[Quantity] &gt; 2, "Bulk Order", "Standard Order")</f>
        <v>Bulk Order</v>
      </c>
    </row>
    <row r="444" ht="15.75" customHeight="1">
      <c r="A444" s="2" t="s">
        <v>1217</v>
      </c>
      <c r="B444" s="3">
        <v>45904.0</v>
      </c>
      <c r="C444" s="2" t="s">
        <v>1218</v>
      </c>
      <c r="D444" s="2" t="s">
        <v>1219</v>
      </c>
      <c r="E444" s="2">
        <v>34.0</v>
      </c>
      <c r="F444" s="2" t="s">
        <v>37</v>
      </c>
      <c r="G444" s="2" t="s">
        <v>1026</v>
      </c>
      <c r="H444" s="2" t="s">
        <v>74</v>
      </c>
      <c r="I444" s="2" t="s">
        <v>45</v>
      </c>
      <c r="J444" s="2">
        <v>9.0</v>
      </c>
      <c r="K444" s="4">
        <v>46924.58</v>
      </c>
      <c r="L444" s="5">
        <v>422321.22</v>
      </c>
      <c r="N444" s="2" t="str">
        <f>IF(Table1[Quantity] &gt; 2, "Bulk Order", "Standard Order")</f>
        <v>Bulk Order</v>
      </c>
    </row>
    <row r="445" ht="15.75" customHeight="1">
      <c r="A445" s="2" t="s">
        <v>1220</v>
      </c>
      <c r="B445" s="3">
        <v>45870.0</v>
      </c>
      <c r="C445" s="2" t="s">
        <v>1221</v>
      </c>
      <c r="D445" s="2" t="s">
        <v>1222</v>
      </c>
      <c r="E445" s="2">
        <v>55.0</v>
      </c>
      <c r="F445" s="2" t="s">
        <v>37</v>
      </c>
      <c r="G445" s="2" t="s">
        <v>1026</v>
      </c>
      <c r="H445" s="2" t="s">
        <v>42</v>
      </c>
      <c r="I445" s="2" t="s">
        <v>41</v>
      </c>
      <c r="J445" s="2">
        <v>1.0</v>
      </c>
      <c r="K445" s="4">
        <v>12255.87</v>
      </c>
      <c r="L445" s="5">
        <v>12255.87</v>
      </c>
      <c r="N445" s="2" t="str">
        <f>IF(Table1[Quantity] &gt; 2, "Bulk Order", "Standard Order")</f>
        <v>Standard Order</v>
      </c>
    </row>
    <row r="446" ht="15.75" customHeight="1">
      <c r="A446" s="2" t="s">
        <v>1223</v>
      </c>
      <c r="B446" s="3">
        <v>45917.0</v>
      </c>
      <c r="C446" s="2" t="s">
        <v>1224</v>
      </c>
      <c r="D446" s="2" t="s">
        <v>219</v>
      </c>
      <c r="E446" s="2">
        <v>44.0</v>
      </c>
      <c r="F446" s="2" t="s">
        <v>29</v>
      </c>
      <c r="G446" s="2" t="s">
        <v>1026</v>
      </c>
      <c r="H446" s="2" t="s">
        <v>31</v>
      </c>
      <c r="I446" s="2" t="s">
        <v>32</v>
      </c>
      <c r="J446" s="2">
        <v>9.0</v>
      </c>
      <c r="K446" s="4">
        <v>1610.18</v>
      </c>
      <c r="L446" s="5">
        <v>14491.62</v>
      </c>
      <c r="N446" s="2" t="str">
        <f>IF(Table1[Quantity] &gt; 2, "Bulk Order", "Standard Order")</f>
        <v>Bulk Order</v>
      </c>
    </row>
    <row r="447" ht="15.75" customHeight="1">
      <c r="A447" s="2" t="s">
        <v>1225</v>
      </c>
      <c r="B447" s="3">
        <v>45859.0</v>
      </c>
      <c r="C447" s="2" t="s">
        <v>1226</v>
      </c>
      <c r="D447" s="2" t="s">
        <v>1227</v>
      </c>
      <c r="E447" s="2">
        <v>31.0</v>
      </c>
      <c r="F447" s="2" t="s">
        <v>37</v>
      </c>
      <c r="G447" s="2" t="s">
        <v>1026</v>
      </c>
      <c r="H447" s="2" t="s">
        <v>42</v>
      </c>
      <c r="I447" s="2" t="s">
        <v>41</v>
      </c>
      <c r="J447" s="2">
        <v>8.0</v>
      </c>
      <c r="K447" s="4">
        <v>5632.88</v>
      </c>
      <c r="L447" s="5">
        <v>45063.04</v>
      </c>
      <c r="N447" s="2" t="str">
        <f>IF(Table1[Quantity] &gt; 2, "Bulk Order", "Standard Order")</f>
        <v>Bulk Order</v>
      </c>
    </row>
    <row r="448" ht="15.75" customHeight="1">
      <c r="A448" s="2" t="s">
        <v>1228</v>
      </c>
      <c r="B448" s="3">
        <v>45870.0</v>
      </c>
      <c r="C448" s="2" t="s">
        <v>1229</v>
      </c>
      <c r="D448" s="2" t="s">
        <v>348</v>
      </c>
      <c r="E448" s="2">
        <v>35.0</v>
      </c>
      <c r="F448" s="2" t="s">
        <v>37</v>
      </c>
      <c r="G448" s="2" t="s">
        <v>1026</v>
      </c>
      <c r="H448" s="2" t="s">
        <v>42</v>
      </c>
      <c r="I448" s="2" t="s">
        <v>41</v>
      </c>
      <c r="J448" s="2">
        <v>5.0</v>
      </c>
      <c r="K448" s="4">
        <v>16961.15</v>
      </c>
      <c r="L448" s="5">
        <v>84805.75</v>
      </c>
      <c r="N448" s="2" t="str">
        <f>IF(Table1[Quantity] &gt; 2, "Bulk Order", "Standard Order")</f>
        <v>Bulk Order</v>
      </c>
    </row>
    <row r="449" ht="15.75" customHeight="1">
      <c r="A449" s="2" t="s">
        <v>1230</v>
      </c>
      <c r="B449" s="3">
        <v>45845.0</v>
      </c>
      <c r="C449" s="2" t="s">
        <v>1231</v>
      </c>
      <c r="D449" s="2" t="s">
        <v>1232</v>
      </c>
      <c r="E449" s="2">
        <v>21.0</v>
      </c>
      <c r="F449" s="2" t="s">
        <v>37</v>
      </c>
      <c r="G449" s="2" t="s">
        <v>1026</v>
      </c>
      <c r="H449" s="2" t="s">
        <v>56</v>
      </c>
      <c r="I449" s="2" t="s">
        <v>43</v>
      </c>
      <c r="J449" s="2">
        <v>7.0</v>
      </c>
      <c r="K449" s="4">
        <v>12194.92</v>
      </c>
      <c r="L449" s="5">
        <v>85364.44</v>
      </c>
      <c r="N449" s="2" t="str">
        <f>IF(Table1[Quantity] &gt; 2, "Bulk Order", "Standard Order")</f>
        <v>Bulk Order</v>
      </c>
    </row>
    <row r="450" ht="15.75" customHeight="1">
      <c r="A450" s="2" t="s">
        <v>1233</v>
      </c>
      <c r="B450" s="3">
        <v>45749.0</v>
      </c>
      <c r="C450" s="2" t="s">
        <v>1234</v>
      </c>
      <c r="D450" s="2" t="s">
        <v>1169</v>
      </c>
      <c r="E450" s="2">
        <v>64.0</v>
      </c>
      <c r="F450" s="2" t="s">
        <v>29</v>
      </c>
      <c r="G450" s="2" t="s">
        <v>1026</v>
      </c>
      <c r="H450" s="2" t="s">
        <v>42</v>
      </c>
      <c r="I450" s="2" t="s">
        <v>41</v>
      </c>
      <c r="J450" s="2">
        <v>4.0</v>
      </c>
      <c r="K450" s="4">
        <v>22686.59</v>
      </c>
      <c r="L450" s="5">
        <v>90746.36</v>
      </c>
      <c r="N450" s="2" t="str">
        <f>IF(Table1[Quantity] &gt; 2, "Bulk Order", "Standard Order")</f>
        <v>Bulk Order</v>
      </c>
    </row>
    <row r="451" ht="15.75" customHeight="1">
      <c r="A451" s="2" t="s">
        <v>1235</v>
      </c>
      <c r="B451" s="3">
        <v>45997.0</v>
      </c>
      <c r="C451" s="2" t="s">
        <v>1236</v>
      </c>
      <c r="D451" s="2" t="s">
        <v>252</v>
      </c>
      <c r="E451" s="2">
        <v>47.0</v>
      </c>
      <c r="F451" s="2" t="s">
        <v>29</v>
      </c>
      <c r="G451" s="2" t="s">
        <v>1026</v>
      </c>
      <c r="H451" s="2" t="s">
        <v>74</v>
      </c>
      <c r="I451" s="2" t="s">
        <v>45</v>
      </c>
      <c r="J451" s="2">
        <v>4.0</v>
      </c>
      <c r="K451" s="4">
        <v>30019.56</v>
      </c>
      <c r="L451" s="5">
        <v>120078.24</v>
      </c>
      <c r="N451" s="2" t="str">
        <f>IF(Table1[Quantity] &gt; 2, "Bulk Order", "Standard Order")</f>
        <v>Bulk Order</v>
      </c>
    </row>
    <row r="452" ht="15.75" customHeight="1">
      <c r="A452" s="2" t="s">
        <v>1237</v>
      </c>
      <c r="B452" s="3">
        <v>45801.0</v>
      </c>
      <c r="C452" s="2" t="s">
        <v>1238</v>
      </c>
      <c r="D452" s="2" t="s">
        <v>73</v>
      </c>
      <c r="E452" s="2">
        <v>51.0</v>
      </c>
      <c r="F452" s="2" t="s">
        <v>29</v>
      </c>
      <c r="G452" s="2" t="s">
        <v>1026</v>
      </c>
      <c r="H452" s="2" t="s">
        <v>31</v>
      </c>
      <c r="I452" s="2" t="s">
        <v>32</v>
      </c>
      <c r="J452" s="2">
        <v>4.0</v>
      </c>
      <c r="K452" s="4">
        <v>17704.67</v>
      </c>
      <c r="L452" s="5">
        <v>70818.68</v>
      </c>
      <c r="N452" s="2" t="str">
        <f>IF(Table1[Quantity] &gt; 2, "Bulk Order", "Standard Order")</f>
        <v>Bulk Order</v>
      </c>
    </row>
    <row r="453" ht="15.75" customHeight="1">
      <c r="A453" s="2" t="s">
        <v>1239</v>
      </c>
      <c r="B453" s="3">
        <v>45904.0</v>
      </c>
      <c r="C453" s="2" t="s">
        <v>1240</v>
      </c>
      <c r="D453" s="2" t="s">
        <v>467</v>
      </c>
      <c r="E453" s="2">
        <v>55.0</v>
      </c>
      <c r="F453" s="2" t="s">
        <v>29</v>
      </c>
      <c r="G453" s="2" t="s">
        <v>1026</v>
      </c>
      <c r="H453" s="2" t="s">
        <v>60</v>
      </c>
      <c r="I453" s="2" t="s">
        <v>43</v>
      </c>
      <c r="J453" s="2">
        <v>6.0</v>
      </c>
      <c r="K453" s="4">
        <v>36277.76</v>
      </c>
      <c r="L453" s="5">
        <v>217666.56</v>
      </c>
      <c r="N453" s="2" t="str">
        <f>IF(Table1[Quantity] &gt; 2, "Bulk Order", "Standard Order")</f>
        <v>Bulk Order</v>
      </c>
    </row>
    <row r="454" ht="15.75" customHeight="1">
      <c r="A454" s="2" t="s">
        <v>1241</v>
      </c>
      <c r="B454" s="3">
        <v>45666.0</v>
      </c>
      <c r="C454" s="2" t="s">
        <v>1242</v>
      </c>
      <c r="D454" s="2" t="s">
        <v>526</v>
      </c>
      <c r="E454" s="2">
        <v>64.0</v>
      </c>
      <c r="F454" s="2" t="s">
        <v>29</v>
      </c>
      <c r="G454" s="2" t="s">
        <v>1026</v>
      </c>
      <c r="H454" s="2" t="s">
        <v>64</v>
      </c>
      <c r="I454" s="2" t="s">
        <v>44</v>
      </c>
      <c r="J454" s="2">
        <v>1.0</v>
      </c>
      <c r="K454" s="4">
        <v>19202.88</v>
      </c>
      <c r="L454" s="5">
        <v>19202.88</v>
      </c>
      <c r="N454" s="2" t="str">
        <f>IF(Table1[Quantity] &gt; 2, "Bulk Order", "Standard Order")</f>
        <v>Standard Order</v>
      </c>
    </row>
    <row r="455" ht="15.75" customHeight="1">
      <c r="A455" s="2" t="s">
        <v>1243</v>
      </c>
      <c r="B455" s="3">
        <v>46008.0</v>
      </c>
      <c r="C455" s="2" t="s">
        <v>1244</v>
      </c>
      <c r="D455" s="2" t="s">
        <v>702</v>
      </c>
      <c r="E455" s="2">
        <v>61.0</v>
      </c>
      <c r="F455" s="2" t="s">
        <v>29</v>
      </c>
      <c r="G455" s="2" t="s">
        <v>1026</v>
      </c>
      <c r="H455" s="2" t="s">
        <v>31</v>
      </c>
      <c r="I455" s="2" t="s">
        <v>32</v>
      </c>
      <c r="J455" s="2">
        <v>4.0</v>
      </c>
      <c r="K455" s="4">
        <v>19284.6</v>
      </c>
      <c r="L455" s="5">
        <v>77138.4</v>
      </c>
      <c r="N455" s="2" t="str">
        <f>IF(Table1[Quantity] &gt; 2, "Bulk Order", "Standard Order")</f>
        <v>Bulk Order</v>
      </c>
    </row>
    <row r="456" ht="15.75" customHeight="1">
      <c r="A456" s="2" t="s">
        <v>1245</v>
      </c>
      <c r="B456" s="3">
        <v>45919.0</v>
      </c>
      <c r="C456" s="2" t="s">
        <v>1246</v>
      </c>
      <c r="D456" s="2" t="s">
        <v>711</v>
      </c>
      <c r="E456" s="2">
        <v>33.0</v>
      </c>
      <c r="F456" s="2" t="s">
        <v>29</v>
      </c>
      <c r="G456" s="2" t="s">
        <v>1026</v>
      </c>
      <c r="H456" s="2" t="s">
        <v>42</v>
      </c>
      <c r="I456" s="2" t="s">
        <v>41</v>
      </c>
      <c r="J456" s="2">
        <v>1.0</v>
      </c>
      <c r="K456" s="4">
        <v>17299.04</v>
      </c>
      <c r="L456" s="5">
        <v>17299.04</v>
      </c>
      <c r="N456" s="2" t="str">
        <f>IF(Table1[Quantity] &gt; 2, "Bulk Order", "Standard Order")</f>
        <v>Standard Order</v>
      </c>
    </row>
    <row r="457" ht="15.75" customHeight="1">
      <c r="A457" s="2" t="s">
        <v>1247</v>
      </c>
      <c r="B457" s="3">
        <v>45963.0</v>
      </c>
      <c r="C457" s="2" t="s">
        <v>1248</v>
      </c>
      <c r="D457" s="2" t="s">
        <v>1249</v>
      </c>
      <c r="E457" s="2">
        <v>21.0</v>
      </c>
      <c r="F457" s="2" t="s">
        <v>37</v>
      </c>
      <c r="G457" s="2" t="s">
        <v>1026</v>
      </c>
      <c r="H457" s="2" t="s">
        <v>56</v>
      </c>
      <c r="I457" s="2" t="s">
        <v>43</v>
      </c>
      <c r="J457" s="2">
        <v>5.0</v>
      </c>
      <c r="K457" s="4">
        <v>9442.5</v>
      </c>
      <c r="L457" s="5">
        <v>47212.5</v>
      </c>
      <c r="N457" s="2" t="str">
        <f>IF(Table1[Quantity] &gt; 2, "Bulk Order", "Standard Order")</f>
        <v>Bulk Order</v>
      </c>
    </row>
    <row r="458" ht="15.75" customHeight="1">
      <c r="A458" s="2" t="s">
        <v>1250</v>
      </c>
      <c r="B458" s="3">
        <v>46018.0</v>
      </c>
      <c r="C458" s="2" t="s">
        <v>1251</v>
      </c>
      <c r="D458" s="2" t="s">
        <v>507</v>
      </c>
      <c r="E458" s="2">
        <v>61.0</v>
      </c>
      <c r="F458" s="2" t="s">
        <v>37</v>
      </c>
      <c r="G458" s="2" t="s">
        <v>1026</v>
      </c>
      <c r="H458" s="2" t="s">
        <v>64</v>
      </c>
      <c r="I458" s="2" t="s">
        <v>44</v>
      </c>
      <c r="J458" s="2">
        <v>8.0</v>
      </c>
      <c r="K458" s="4">
        <v>32219.95</v>
      </c>
      <c r="L458" s="5">
        <v>257759.6</v>
      </c>
      <c r="N458" s="2" t="str">
        <f>IF(Table1[Quantity] &gt; 2, "Bulk Order", "Standard Order")</f>
        <v>Bulk Order</v>
      </c>
    </row>
    <row r="459" ht="15.75" customHeight="1">
      <c r="A459" s="2" t="s">
        <v>1252</v>
      </c>
      <c r="B459" s="3">
        <v>45747.0</v>
      </c>
      <c r="C459" s="2" t="s">
        <v>1253</v>
      </c>
      <c r="D459" s="2" t="s">
        <v>901</v>
      </c>
      <c r="E459" s="2">
        <v>43.0</v>
      </c>
      <c r="F459" s="2" t="s">
        <v>37</v>
      </c>
      <c r="G459" s="2" t="s">
        <v>1026</v>
      </c>
      <c r="H459" s="2" t="s">
        <v>56</v>
      </c>
      <c r="I459" s="2" t="s">
        <v>43</v>
      </c>
      <c r="J459" s="2">
        <v>1.0</v>
      </c>
      <c r="K459" s="4">
        <v>12225.22</v>
      </c>
      <c r="L459" s="5">
        <v>12225.22</v>
      </c>
      <c r="N459" s="2" t="str">
        <f>IF(Table1[Quantity] &gt; 2, "Bulk Order", "Standard Order")</f>
        <v>Standard Order</v>
      </c>
    </row>
    <row r="460" ht="15.75" customHeight="1">
      <c r="A460" s="2" t="s">
        <v>1254</v>
      </c>
      <c r="B460" s="3">
        <v>45771.0</v>
      </c>
      <c r="C460" s="2" t="s">
        <v>1255</v>
      </c>
      <c r="D460" s="2" t="s">
        <v>118</v>
      </c>
      <c r="E460" s="2">
        <v>60.0</v>
      </c>
      <c r="F460" s="2" t="s">
        <v>37</v>
      </c>
      <c r="G460" s="2" t="s">
        <v>1026</v>
      </c>
      <c r="H460" s="2" t="s">
        <v>56</v>
      </c>
      <c r="I460" s="2" t="s">
        <v>43</v>
      </c>
      <c r="J460" s="2">
        <v>4.0</v>
      </c>
      <c r="K460" s="4">
        <v>988.45</v>
      </c>
      <c r="L460" s="5">
        <v>3953.8</v>
      </c>
      <c r="N460" s="2" t="str">
        <f>IF(Table1[Quantity] &gt; 2, "Bulk Order", "Standard Order")</f>
        <v>Bulk Order</v>
      </c>
    </row>
    <row r="461" ht="15.75" customHeight="1">
      <c r="A461" s="2" t="s">
        <v>1256</v>
      </c>
      <c r="B461" s="3">
        <v>45995.0</v>
      </c>
      <c r="C461" s="2" t="s">
        <v>506</v>
      </c>
      <c r="D461" s="2" t="s">
        <v>824</v>
      </c>
      <c r="E461" s="2">
        <v>57.0</v>
      </c>
      <c r="F461" s="2" t="s">
        <v>37</v>
      </c>
      <c r="G461" s="2" t="s">
        <v>1026</v>
      </c>
      <c r="H461" s="2" t="s">
        <v>74</v>
      </c>
      <c r="I461" s="2" t="s">
        <v>45</v>
      </c>
      <c r="J461" s="2">
        <v>2.0</v>
      </c>
      <c r="K461" s="4">
        <v>45538.2</v>
      </c>
      <c r="L461" s="5">
        <v>91076.4</v>
      </c>
      <c r="N461" s="2" t="str">
        <f>IF(Table1[Quantity] &gt; 2, "Bulk Order", "Standard Order")</f>
        <v>Standard Order</v>
      </c>
    </row>
    <row r="462" ht="15.75" customHeight="1">
      <c r="A462" s="2" t="s">
        <v>1257</v>
      </c>
      <c r="B462" s="3">
        <v>45765.0</v>
      </c>
      <c r="C462" s="2" t="s">
        <v>1258</v>
      </c>
      <c r="D462" s="2" t="s">
        <v>972</v>
      </c>
      <c r="E462" s="2">
        <v>38.0</v>
      </c>
      <c r="F462" s="2" t="s">
        <v>37</v>
      </c>
      <c r="G462" s="2" t="s">
        <v>1026</v>
      </c>
      <c r="H462" s="2" t="s">
        <v>74</v>
      </c>
      <c r="I462" s="2" t="s">
        <v>45</v>
      </c>
      <c r="J462" s="2">
        <v>6.0</v>
      </c>
      <c r="K462" s="4">
        <v>19454.75</v>
      </c>
      <c r="L462" s="5">
        <v>116728.5</v>
      </c>
      <c r="N462" s="2" t="str">
        <f>IF(Table1[Quantity] &gt; 2, "Bulk Order", "Standard Order")</f>
        <v>Bulk Order</v>
      </c>
    </row>
    <row r="463" ht="15.75" customHeight="1">
      <c r="A463" s="2" t="s">
        <v>1259</v>
      </c>
      <c r="B463" s="3">
        <v>45812.0</v>
      </c>
      <c r="C463" s="2" t="s">
        <v>1260</v>
      </c>
      <c r="D463" s="2" t="s">
        <v>1261</v>
      </c>
      <c r="E463" s="2">
        <v>52.0</v>
      </c>
      <c r="F463" s="2" t="s">
        <v>37</v>
      </c>
      <c r="G463" s="2" t="s">
        <v>1026</v>
      </c>
      <c r="H463" s="2" t="s">
        <v>31</v>
      </c>
      <c r="I463" s="2" t="s">
        <v>32</v>
      </c>
      <c r="J463" s="2">
        <v>6.0</v>
      </c>
      <c r="K463" s="4">
        <v>32296.32</v>
      </c>
      <c r="L463" s="5">
        <v>193777.92</v>
      </c>
      <c r="N463" s="2" t="str">
        <f>IF(Table1[Quantity] &gt; 2, "Bulk Order", "Standard Order")</f>
        <v>Bulk Order</v>
      </c>
    </row>
    <row r="464" ht="15.75" customHeight="1">
      <c r="A464" s="2" t="s">
        <v>1262</v>
      </c>
      <c r="B464" s="3">
        <v>45917.0</v>
      </c>
      <c r="C464" s="2" t="s">
        <v>1263</v>
      </c>
      <c r="D464" s="2" t="s">
        <v>1264</v>
      </c>
      <c r="E464" s="2">
        <v>40.0</v>
      </c>
      <c r="F464" s="2" t="s">
        <v>29</v>
      </c>
      <c r="G464" s="2" t="s">
        <v>1026</v>
      </c>
      <c r="H464" s="2" t="s">
        <v>60</v>
      </c>
      <c r="I464" s="2" t="s">
        <v>43</v>
      </c>
      <c r="J464" s="2">
        <v>8.0</v>
      </c>
      <c r="K464" s="4">
        <v>42593.69</v>
      </c>
      <c r="L464" s="5">
        <v>340749.52</v>
      </c>
      <c r="N464" s="2" t="str">
        <f>IF(Table1[Quantity] &gt; 2, "Bulk Order", "Standard Order")</f>
        <v>Bulk Order</v>
      </c>
    </row>
    <row r="465" ht="15.75" customHeight="1">
      <c r="A465" s="2" t="s">
        <v>1265</v>
      </c>
      <c r="B465" s="3">
        <v>45843.0</v>
      </c>
      <c r="C465" s="2" t="s">
        <v>1266</v>
      </c>
      <c r="D465" s="2" t="s">
        <v>967</v>
      </c>
      <c r="E465" s="2">
        <v>49.0</v>
      </c>
      <c r="F465" s="2" t="s">
        <v>37</v>
      </c>
      <c r="G465" s="2" t="s">
        <v>1026</v>
      </c>
      <c r="H465" s="2" t="s">
        <v>74</v>
      </c>
      <c r="I465" s="2" t="s">
        <v>45</v>
      </c>
      <c r="J465" s="2">
        <v>7.0</v>
      </c>
      <c r="K465" s="4">
        <v>36034.1</v>
      </c>
      <c r="L465" s="5">
        <v>252238.7</v>
      </c>
      <c r="N465" s="2" t="str">
        <f>IF(Table1[Quantity] &gt; 2, "Bulk Order", "Standard Order")</f>
        <v>Bulk Order</v>
      </c>
    </row>
    <row r="466" ht="15.75" customHeight="1">
      <c r="A466" s="2" t="s">
        <v>1267</v>
      </c>
      <c r="B466" s="3">
        <v>45789.0</v>
      </c>
      <c r="C466" s="2" t="s">
        <v>1268</v>
      </c>
      <c r="D466" s="2" t="s">
        <v>1269</v>
      </c>
      <c r="E466" s="2">
        <v>47.0</v>
      </c>
      <c r="F466" s="2" t="s">
        <v>29</v>
      </c>
      <c r="G466" s="2" t="s">
        <v>1026</v>
      </c>
      <c r="H466" s="2" t="s">
        <v>60</v>
      </c>
      <c r="I466" s="2" t="s">
        <v>43</v>
      </c>
      <c r="J466" s="2">
        <v>5.0</v>
      </c>
      <c r="K466" s="4">
        <v>47021.1</v>
      </c>
      <c r="L466" s="5">
        <v>235105.5</v>
      </c>
      <c r="N466" s="2" t="str">
        <f>IF(Table1[Quantity] &gt; 2, "Bulk Order", "Standard Order")</f>
        <v>Bulk Order</v>
      </c>
    </row>
    <row r="467" ht="15.75" customHeight="1">
      <c r="A467" s="2" t="s">
        <v>1270</v>
      </c>
      <c r="B467" s="3">
        <v>45813.0</v>
      </c>
      <c r="C467" s="2" t="s">
        <v>1271</v>
      </c>
      <c r="D467" s="2" t="s">
        <v>1272</v>
      </c>
      <c r="E467" s="2">
        <v>42.0</v>
      </c>
      <c r="F467" s="2" t="s">
        <v>29</v>
      </c>
      <c r="G467" s="2" t="s">
        <v>1026</v>
      </c>
      <c r="H467" s="2" t="s">
        <v>42</v>
      </c>
      <c r="I467" s="2" t="s">
        <v>41</v>
      </c>
      <c r="J467" s="2">
        <v>7.0</v>
      </c>
      <c r="K467" s="4">
        <v>38502.79</v>
      </c>
      <c r="L467" s="5">
        <v>269519.53</v>
      </c>
      <c r="N467" s="2" t="str">
        <f>IF(Table1[Quantity] &gt; 2, "Bulk Order", "Standard Order")</f>
        <v>Bulk Order</v>
      </c>
    </row>
    <row r="468" ht="15.75" customHeight="1">
      <c r="A468" s="2" t="s">
        <v>1273</v>
      </c>
      <c r="B468" s="3">
        <v>46014.0</v>
      </c>
      <c r="C468" s="2" t="s">
        <v>1274</v>
      </c>
      <c r="D468" s="2" t="s">
        <v>1275</v>
      </c>
      <c r="E468" s="2">
        <v>49.0</v>
      </c>
      <c r="F468" s="2" t="s">
        <v>29</v>
      </c>
      <c r="G468" s="2" t="s">
        <v>1026</v>
      </c>
      <c r="H468" s="2" t="s">
        <v>74</v>
      </c>
      <c r="I468" s="2" t="s">
        <v>45</v>
      </c>
      <c r="J468" s="2">
        <v>7.0</v>
      </c>
      <c r="K468" s="4">
        <v>283.1</v>
      </c>
      <c r="L468" s="5">
        <v>1981.7</v>
      </c>
      <c r="N468" s="2" t="str">
        <f>IF(Table1[Quantity] &gt; 2, "Bulk Order", "Standard Order")</f>
        <v>Bulk Order</v>
      </c>
    </row>
    <row r="469" ht="15.75" customHeight="1">
      <c r="A469" s="2" t="s">
        <v>1276</v>
      </c>
      <c r="B469" s="3">
        <v>46003.0</v>
      </c>
      <c r="C469" s="2" t="s">
        <v>1277</v>
      </c>
      <c r="D469" s="2" t="s">
        <v>615</v>
      </c>
      <c r="E469" s="2">
        <v>36.0</v>
      </c>
      <c r="F469" s="2" t="s">
        <v>37</v>
      </c>
      <c r="G469" s="2" t="s">
        <v>1026</v>
      </c>
      <c r="H469" s="2" t="s">
        <v>56</v>
      </c>
      <c r="I469" s="2" t="s">
        <v>43</v>
      </c>
      <c r="J469" s="2">
        <v>5.0</v>
      </c>
      <c r="K469" s="4">
        <v>39484.31</v>
      </c>
      <c r="L469" s="5">
        <v>197421.55</v>
      </c>
      <c r="N469" s="2" t="str">
        <f>IF(Table1[Quantity] &gt; 2, "Bulk Order", "Standard Order")</f>
        <v>Bulk Order</v>
      </c>
    </row>
    <row r="470" ht="15.75" customHeight="1">
      <c r="A470" s="2" t="s">
        <v>1278</v>
      </c>
      <c r="B470" s="3">
        <v>45795.0</v>
      </c>
      <c r="C470" s="2" t="s">
        <v>1279</v>
      </c>
      <c r="D470" s="2" t="s">
        <v>359</v>
      </c>
      <c r="E470" s="2">
        <v>40.0</v>
      </c>
      <c r="F470" s="2" t="s">
        <v>37</v>
      </c>
      <c r="G470" s="2" t="s">
        <v>1026</v>
      </c>
      <c r="H470" s="2" t="s">
        <v>60</v>
      </c>
      <c r="I470" s="2" t="s">
        <v>43</v>
      </c>
      <c r="J470" s="2">
        <v>7.0</v>
      </c>
      <c r="K470" s="4">
        <v>6769.87</v>
      </c>
      <c r="L470" s="5">
        <v>47389.09</v>
      </c>
      <c r="N470" s="2" t="str">
        <f>IF(Table1[Quantity] &gt; 2, "Bulk Order", "Standard Order")</f>
        <v>Bulk Order</v>
      </c>
    </row>
    <row r="471" ht="15.75" customHeight="1">
      <c r="A471" s="2" t="s">
        <v>1280</v>
      </c>
      <c r="B471" s="3">
        <v>45891.0</v>
      </c>
      <c r="C471" s="2" t="s">
        <v>1281</v>
      </c>
      <c r="D471" s="2" t="s">
        <v>1078</v>
      </c>
      <c r="E471" s="2">
        <v>43.0</v>
      </c>
      <c r="F471" s="2" t="s">
        <v>29</v>
      </c>
      <c r="G471" s="2" t="s">
        <v>1026</v>
      </c>
      <c r="H471" s="2" t="s">
        <v>31</v>
      </c>
      <c r="I471" s="2" t="s">
        <v>32</v>
      </c>
      <c r="J471" s="2">
        <v>8.0</v>
      </c>
      <c r="K471" s="4">
        <v>44811.59</v>
      </c>
      <c r="L471" s="5">
        <v>358492.72</v>
      </c>
      <c r="N471" s="2" t="str">
        <f>IF(Table1[Quantity] &gt; 2, "Bulk Order", "Standard Order")</f>
        <v>Bulk Order</v>
      </c>
    </row>
    <row r="472" ht="15.75" customHeight="1">
      <c r="A472" s="2" t="s">
        <v>1282</v>
      </c>
      <c r="B472" s="3">
        <v>45992.0</v>
      </c>
      <c r="C472" s="2" t="s">
        <v>1283</v>
      </c>
      <c r="D472" s="2" t="s">
        <v>1284</v>
      </c>
      <c r="E472" s="2">
        <v>24.0</v>
      </c>
      <c r="F472" s="2" t="s">
        <v>37</v>
      </c>
      <c r="G472" s="2" t="s">
        <v>1026</v>
      </c>
      <c r="H472" s="2" t="s">
        <v>42</v>
      </c>
      <c r="I472" s="2" t="s">
        <v>41</v>
      </c>
      <c r="J472" s="2">
        <v>8.0</v>
      </c>
      <c r="K472" s="4">
        <v>36507.56</v>
      </c>
      <c r="L472" s="5">
        <v>292060.48</v>
      </c>
      <c r="N472" s="2" t="str">
        <f>IF(Table1[Quantity] &gt; 2, "Bulk Order", "Standard Order")</f>
        <v>Bulk Order</v>
      </c>
    </row>
    <row r="473" ht="15.75" customHeight="1">
      <c r="A473" s="2" t="s">
        <v>1285</v>
      </c>
      <c r="B473" s="3">
        <v>45992.0</v>
      </c>
      <c r="C473" s="2" t="s">
        <v>1286</v>
      </c>
      <c r="D473" s="2" t="s">
        <v>1287</v>
      </c>
      <c r="E473" s="2">
        <v>36.0</v>
      </c>
      <c r="F473" s="2" t="s">
        <v>37</v>
      </c>
      <c r="G473" s="2" t="s">
        <v>1026</v>
      </c>
      <c r="H473" s="2" t="s">
        <v>74</v>
      </c>
      <c r="I473" s="2" t="s">
        <v>45</v>
      </c>
      <c r="J473" s="2">
        <v>2.0</v>
      </c>
      <c r="K473" s="4">
        <v>20357.35</v>
      </c>
      <c r="L473" s="5">
        <v>40714.7</v>
      </c>
      <c r="N473" s="2" t="str">
        <f>IF(Table1[Quantity] &gt; 2, "Bulk Order", "Standard Order")</f>
        <v>Standard Order</v>
      </c>
    </row>
    <row r="474" ht="15.75" customHeight="1">
      <c r="A474" s="2" t="s">
        <v>1288</v>
      </c>
      <c r="B474" s="3">
        <v>45702.0</v>
      </c>
      <c r="C474" s="2" t="s">
        <v>1289</v>
      </c>
      <c r="D474" s="2" t="s">
        <v>219</v>
      </c>
      <c r="E474" s="2">
        <v>55.0</v>
      </c>
      <c r="F474" s="2" t="s">
        <v>37</v>
      </c>
      <c r="G474" s="2" t="s">
        <v>1026</v>
      </c>
      <c r="H474" s="2" t="s">
        <v>74</v>
      </c>
      <c r="I474" s="2" t="s">
        <v>45</v>
      </c>
      <c r="J474" s="2">
        <v>2.0</v>
      </c>
      <c r="K474" s="4">
        <v>9063.83</v>
      </c>
      <c r="L474" s="5">
        <v>18127.66</v>
      </c>
      <c r="N474" s="2" t="str">
        <f>IF(Table1[Quantity] &gt; 2, "Bulk Order", "Standard Order")</f>
        <v>Standard Order</v>
      </c>
    </row>
    <row r="475" ht="15.75" customHeight="1">
      <c r="A475" s="2" t="s">
        <v>1290</v>
      </c>
      <c r="B475" s="3">
        <v>45866.0</v>
      </c>
      <c r="C475" s="2" t="s">
        <v>1291</v>
      </c>
      <c r="D475" s="2" t="s">
        <v>353</v>
      </c>
      <c r="E475" s="2">
        <v>48.0</v>
      </c>
      <c r="F475" s="2" t="s">
        <v>29</v>
      </c>
      <c r="G475" s="2" t="s">
        <v>1026</v>
      </c>
      <c r="H475" s="2" t="s">
        <v>31</v>
      </c>
      <c r="I475" s="2" t="s">
        <v>32</v>
      </c>
      <c r="J475" s="2">
        <v>2.0</v>
      </c>
      <c r="K475" s="4">
        <v>39424.04</v>
      </c>
      <c r="L475" s="5">
        <v>78848.08</v>
      </c>
      <c r="N475" s="2" t="str">
        <f>IF(Table1[Quantity] &gt; 2, "Bulk Order", "Standard Order")</f>
        <v>Standard Order</v>
      </c>
    </row>
    <row r="476" ht="15.75" customHeight="1">
      <c r="A476" s="2" t="s">
        <v>1292</v>
      </c>
      <c r="B476" s="3">
        <v>45798.0</v>
      </c>
      <c r="C476" s="2" t="s">
        <v>1293</v>
      </c>
      <c r="D476" s="2" t="s">
        <v>1200</v>
      </c>
      <c r="E476" s="2">
        <v>58.0</v>
      </c>
      <c r="F476" s="2" t="s">
        <v>29</v>
      </c>
      <c r="G476" s="2" t="s">
        <v>1026</v>
      </c>
      <c r="H476" s="2" t="s">
        <v>64</v>
      </c>
      <c r="I476" s="2" t="s">
        <v>44</v>
      </c>
      <c r="J476" s="2">
        <v>1.0</v>
      </c>
      <c r="K476" s="4">
        <v>3239.94</v>
      </c>
      <c r="L476" s="5">
        <v>3239.94</v>
      </c>
      <c r="N476" s="2" t="str">
        <f>IF(Table1[Quantity] &gt; 2, "Bulk Order", "Standard Order")</f>
        <v>Standard Order</v>
      </c>
    </row>
    <row r="477" ht="15.75" customHeight="1">
      <c r="A477" s="2" t="s">
        <v>1294</v>
      </c>
      <c r="B477" s="3">
        <v>45949.0</v>
      </c>
      <c r="C477" s="2" t="s">
        <v>1295</v>
      </c>
      <c r="D477" s="2" t="s">
        <v>1296</v>
      </c>
      <c r="E477" s="2">
        <v>59.0</v>
      </c>
      <c r="F477" s="2" t="s">
        <v>37</v>
      </c>
      <c r="G477" s="2" t="s">
        <v>1026</v>
      </c>
      <c r="H477" s="2" t="s">
        <v>42</v>
      </c>
      <c r="I477" s="2" t="s">
        <v>41</v>
      </c>
      <c r="J477" s="2">
        <v>1.0</v>
      </c>
      <c r="K477" s="4">
        <v>21496.95</v>
      </c>
      <c r="L477" s="5">
        <v>21496.95</v>
      </c>
      <c r="N477" s="2" t="str">
        <f>IF(Table1[Quantity] &gt; 2, "Bulk Order", "Standard Order")</f>
        <v>Standard Order</v>
      </c>
    </row>
    <row r="478" ht="15.75" customHeight="1">
      <c r="A478" s="2" t="s">
        <v>1297</v>
      </c>
      <c r="B478" s="3">
        <v>45678.0</v>
      </c>
      <c r="C478" s="2" t="s">
        <v>1298</v>
      </c>
      <c r="D478" s="2" t="s">
        <v>1299</v>
      </c>
      <c r="E478" s="2">
        <v>50.0</v>
      </c>
      <c r="F478" s="2" t="s">
        <v>29</v>
      </c>
      <c r="G478" s="2" t="s">
        <v>1026</v>
      </c>
      <c r="H478" s="2" t="s">
        <v>60</v>
      </c>
      <c r="I478" s="2" t="s">
        <v>43</v>
      </c>
      <c r="J478" s="2">
        <v>8.0</v>
      </c>
      <c r="K478" s="4">
        <v>4925.05</v>
      </c>
      <c r="L478" s="5">
        <v>39400.4</v>
      </c>
      <c r="N478" s="2" t="str">
        <f>IF(Table1[Quantity] &gt; 2, "Bulk Order", "Standard Order")</f>
        <v>Bulk Order</v>
      </c>
    </row>
    <row r="479" ht="15.75" customHeight="1">
      <c r="A479" s="2" t="s">
        <v>1300</v>
      </c>
      <c r="B479" s="3">
        <v>45891.0</v>
      </c>
      <c r="C479" s="2" t="s">
        <v>1301</v>
      </c>
      <c r="D479" s="2" t="s">
        <v>449</v>
      </c>
      <c r="E479" s="2">
        <v>43.0</v>
      </c>
      <c r="F479" s="2" t="s">
        <v>37</v>
      </c>
      <c r="G479" s="2" t="s">
        <v>1026</v>
      </c>
      <c r="H479" s="2" t="s">
        <v>60</v>
      </c>
      <c r="I479" s="2" t="s">
        <v>43</v>
      </c>
      <c r="J479" s="2">
        <v>1.0</v>
      </c>
      <c r="K479" s="4">
        <v>47743.08</v>
      </c>
      <c r="L479" s="5">
        <v>47743.08</v>
      </c>
      <c r="N479" s="2" t="str">
        <f>IF(Table1[Quantity] &gt; 2, "Bulk Order", "Standard Order")</f>
        <v>Standard Order</v>
      </c>
    </row>
    <row r="480" ht="15.75" customHeight="1">
      <c r="A480" s="2" t="s">
        <v>1302</v>
      </c>
      <c r="B480" s="3">
        <v>45749.0</v>
      </c>
      <c r="C480" s="2" t="s">
        <v>1303</v>
      </c>
      <c r="D480" s="2" t="s">
        <v>166</v>
      </c>
      <c r="E480" s="2">
        <v>53.0</v>
      </c>
      <c r="F480" s="2" t="s">
        <v>37</v>
      </c>
      <c r="G480" s="2" t="s">
        <v>1026</v>
      </c>
      <c r="H480" s="2" t="s">
        <v>60</v>
      </c>
      <c r="I480" s="2" t="s">
        <v>43</v>
      </c>
      <c r="J480" s="2">
        <v>7.0</v>
      </c>
      <c r="K480" s="4">
        <v>45883.95</v>
      </c>
      <c r="L480" s="5">
        <v>321187.65</v>
      </c>
      <c r="N480" s="2" t="str">
        <f>IF(Table1[Quantity] &gt; 2, "Bulk Order", "Standard Order")</f>
        <v>Bulk Order</v>
      </c>
    </row>
    <row r="481" ht="15.75" customHeight="1">
      <c r="A481" s="2" t="s">
        <v>1304</v>
      </c>
      <c r="B481" s="3">
        <v>45836.0</v>
      </c>
      <c r="C481" s="2" t="s">
        <v>1305</v>
      </c>
      <c r="D481" s="2" t="s">
        <v>1306</v>
      </c>
      <c r="E481" s="2">
        <v>62.0</v>
      </c>
      <c r="F481" s="2" t="s">
        <v>29</v>
      </c>
      <c r="G481" s="2" t="s">
        <v>1026</v>
      </c>
      <c r="H481" s="2" t="s">
        <v>56</v>
      </c>
      <c r="I481" s="2" t="s">
        <v>43</v>
      </c>
      <c r="J481" s="2">
        <v>8.0</v>
      </c>
      <c r="K481" s="4">
        <v>20319.29</v>
      </c>
      <c r="L481" s="5">
        <v>162554.32</v>
      </c>
      <c r="N481" s="2" t="str">
        <f>IF(Table1[Quantity] &gt; 2, "Bulk Order", "Standard Order")</f>
        <v>Bulk Order</v>
      </c>
    </row>
    <row r="482" ht="15.75" customHeight="1">
      <c r="A482" s="2" t="s">
        <v>1307</v>
      </c>
      <c r="B482" s="3">
        <v>45873.0</v>
      </c>
      <c r="C482" s="2" t="s">
        <v>1308</v>
      </c>
      <c r="D482" s="2" t="s">
        <v>1156</v>
      </c>
      <c r="E482" s="2">
        <v>61.0</v>
      </c>
      <c r="F482" s="2" t="s">
        <v>37</v>
      </c>
      <c r="G482" s="2" t="s">
        <v>1026</v>
      </c>
      <c r="H482" s="2" t="s">
        <v>42</v>
      </c>
      <c r="I482" s="2" t="s">
        <v>41</v>
      </c>
      <c r="J482" s="2">
        <v>6.0</v>
      </c>
      <c r="K482" s="4">
        <v>31857.18</v>
      </c>
      <c r="L482" s="5">
        <v>191143.08</v>
      </c>
      <c r="N482" s="2" t="str">
        <f>IF(Table1[Quantity] &gt; 2, "Bulk Order", "Standard Order")</f>
        <v>Bulk Order</v>
      </c>
    </row>
    <row r="483" ht="15.75" customHeight="1">
      <c r="A483" s="2" t="s">
        <v>1309</v>
      </c>
      <c r="B483" s="3">
        <v>45824.0</v>
      </c>
      <c r="C483" s="2" t="s">
        <v>1310</v>
      </c>
      <c r="D483" s="2" t="s">
        <v>877</v>
      </c>
      <c r="E483" s="2">
        <v>21.0</v>
      </c>
      <c r="F483" s="2" t="s">
        <v>37</v>
      </c>
      <c r="G483" s="2" t="s">
        <v>1026</v>
      </c>
      <c r="H483" s="2" t="s">
        <v>64</v>
      </c>
      <c r="I483" s="2" t="s">
        <v>44</v>
      </c>
      <c r="J483" s="2">
        <v>3.0</v>
      </c>
      <c r="K483" s="4">
        <v>25138.65</v>
      </c>
      <c r="L483" s="5">
        <v>75415.95</v>
      </c>
      <c r="N483" s="2" t="str">
        <f>IF(Table1[Quantity] &gt; 2, "Bulk Order", "Standard Order")</f>
        <v>Bulk Order</v>
      </c>
    </row>
    <row r="484" ht="15.75" customHeight="1">
      <c r="A484" s="2" t="s">
        <v>1311</v>
      </c>
      <c r="B484" s="3">
        <v>45723.0</v>
      </c>
      <c r="C484" s="2" t="s">
        <v>1312</v>
      </c>
      <c r="D484" s="2" t="s">
        <v>297</v>
      </c>
      <c r="E484" s="2">
        <v>59.0</v>
      </c>
      <c r="F484" s="2" t="s">
        <v>37</v>
      </c>
      <c r="G484" s="2" t="s">
        <v>1026</v>
      </c>
      <c r="H484" s="2" t="s">
        <v>64</v>
      </c>
      <c r="I484" s="2" t="s">
        <v>44</v>
      </c>
      <c r="J484" s="2">
        <v>3.0</v>
      </c>
      <c r="K484" s="4">
        <v>42044.69</v>
      </c>
      <c r="L484" s="5">
        <v>126134.07</v>
      </c>
      <c r="N484" s="2" t="str">
        <f>IF(Table1[Quantity] &gt; 2, "Bulk Order", "Standard Order")</f>
        <v>Bulk Order</v>
      </c>
    </row>
    <row r="485" ht="15.75" customHeight="1">
      <c r="A485" s="2" t="s">
        <v>1313</v>
      </c>
      <c r="B485" s="3">
        <v>45966.0</v>
      </c>
      <c r="C485" s="2" t="s">
        <v>1314</v>
      </c>
      <c r="D485" s="2" t="s">
        <v>1197</v>
      </c>
      <c r="E485" s="2">
        <v>43.0</v>
      </c>
      <c r="F485" s="2" t="s">
        <v>37</v>
      </c>
      <c r="G485" s="2" t="s">
        <v>1026</v>
      </c>
      <c r="H485" s="2" t="s">
        <v>60</v>
      </c>
      <c r="I485" s="2" t="s">
        <v>43</v>
      </c>
      <c r="J485" s="2">
        <v>10.0</v>
      </c>
      <c r="K485" s="4">
        <v>43146.39</v>
      </c>
      <c r="L485" s="5">
        <v>431463.9</v>
      </c>
      <c r="N485" s="2" t="str">
        <f>IF(Table1[Quantity] &gt; 2, "Bulk Order", "Standard Order")</f>
        <v>Bulk Order</v>
      </c>
    </row>
    <row r="486" ht="15.75" customHeight="1">
      <c r="A486" s="2" t="s">
        <v>1315</v>
      </c>
      <c r="B486" s="3">
        <v>45708.0</v>
      </c>
      <c r="C486" s="2" t="s">
        <v>1316</v>
      </c>
      <c r="D486" s="2" t="s">
        <v>1317</v>
      </c>
      <c r="E486" s="2">
        <v>50.0</v>
      </c>
      <c r="F486" s="2" t="s">
        <v>37</v>
      </c>
      <c r="G486" s="2" t="s">
        <v>1026</v>
      </c>
      <c r="H486" s="2" t="s">
        <v>64</v>
      </c>
      <c r="I486" s="2" t="s">
        <v>44</v>
      </c>
      <c r="J486" s="2">
        <v>3.0</v>
      </c>
      <c r="K486" s="4">
        <v>38656.45</v>
      </c>
      <c r="L486" s="5">
        <v>115969.35</v>
      </c>
      <c r="N486" s="2" t="str">
        <f>IF(Table1[Quantity] &gt; 2, "Bulk Order", "Standard Order")</f>
        <v>Bulk Order</v>
      </c>
    </row>
    <row r="487" ht="15.75" customHeight="1">
      <c r="A487" s="2" t="s">
        <v>1318</v>
      </c>
      <c r="B487" s="3">
        <v>45821.0</v>
      </c>
      <c r="C487" s="2" t="s">
        <v>1319</v>
      </c>
      <c r="D487" s="2" t="s">
        <v>112</v>
      </c>
      <c r="E487" s="2">
        <v>48.0</v>
      </c>
      <c r="F487" s="2" t="s">
        <v>37</v>
      </c>
      <c r="G487" s="2" t="s">
        <v>1026</v>
      </c>
      <c r="H487" s="2" t="s">
        <v>31</v>
      </c>
      <c r="I487" s="2" t="s">
        <v>32</v>
      </c>
      <c r="J487" s="2">
        <v>6.0</v>
      </c>
      <c r="K487" s="4">
        <v>44566.74</v>
      </c>
      <c r="L487" s="5">
        <v>267400.44</v>
      </c>
      <c r="N487" s="2" t="str">
        <f>IF(Table1[Quantity] &gt; 2, "Bulk Order", "Standard Order")</f>
        <v>Bulk Order</v>
      </c>
    </row>
    <row r="488" ht="15.75" customHeight="1">
      <c r="A488" s="2" t="s">
        <v>1320</v>
      </c>
      <c r="B488" s="3">
        <v>45872.0</v>
      </c>
      <c r="C488" s="2" t="s">
        <v>1321</v>
      </c>
      <c r="D488" s="2" t="s">
        <v>235</v>
      </c>
      <c r="E488" s="2">
        <v>24.0</v>
      </c>
      <c r="F488" s="2" t="s">
        <v>37</v>
      </c>
      <c r="G488" s="2" t="s">
        <v>1026</v>
      </c>
      <c r="H488" s="2" t="s">
        <v>42</v>
      </c>
      <c r="I488" s="2" t="s">
        <v>41</v>
      </c>
      <c r="J488" s="2">
        <v>6.0</v>
      </c>
      <c r="K488" s="4">
        <v>5066.44</v>
      </c>
      <c r="L488" s="5">
        <v>30398.64</v>
      </c>
      <c r="N488" s="2" t="str">
        <f>IF(Table1[Quantity] &gt; 2, "Bulk Order", "Standard Order")</f>
        <v>Bulk Order</v>
      </c>
    </row>
    <row r="489" ht="15.75" customHeight="1">
      <c r="A489" s="2" t="s">
        <v>1322</v>
      </c>
      <c r="B489" s="3">
        <v>45743.0</v>
      </c>
      <c r="C489" s="2" t="s">
        <v>1323</v>
      </c>
      <c r="D489" s="2" t="s">
        <v>641</v>
      </c>
      <c r="E489" s="2">
        <v>24.0</v>
      </c>
      <c r="F489" s="2" t="s">
        <v>37</v>
      </c>
      <c r="G489" s="2" t="s">
        <v>1026</v>
      </c>
      <c r="H489" s="2" t="s">
        <v>31</v>
      </c>
      <c r="I489" s="2" t="s">
        <v>32</v>
      </c>
      <c r="J489" s="2">
        <v>1.0</v>
      </c>
      <c r="K489" s="4">
        <v>3375.35</v>
      </c>
      <c r="L489" s="5">
        <v>3375.35</v>
      </c>
      <c r="N489" s="2" t="str">
        <f>IF(Table1[Quantity] &gt; 2, "Bulk Order", "Standard Order")</f>
        <v>Standard Order</v>
      </c>
    </row>
    <row r="490" ht="15.75" customHeight="1">
      <c r="A490" s="2" t="s">
        <v>1324</v>
      </c>
      <c r="B490" s="3">
        <v>45930.0</v>
      </c>
      <c r="C490" s="2" t="s">
        <v>1325</v>
      </c>
      <c r="D490" s="2" t="s">
        <v>1269</v>
      </c>
      <c r="E490" s="2">
        <v>62.0</v>
      </c>
      <c r="F490" s="2" t="s">
        <v>29</v>
      </c>
      <c r="G490" s="2" t="s">
        <v>1026</v>
      </c>
      <c r="H490" s="2" t="s">
        <v>60</v>
      </c>
      <c r="I490" s="2" t="s">
        <v>43</v>
      </c>
      <c r="J490" s="2">
        <v>9.0</v>
      </c>
      <c r="K490" s="4">
        <v>12971.59</v>
      </c>
      <c r="L490" s="5">
        <v>116744.31</v>
      </c>
      <c r="N490" s="2" t="str">
        <f>IF(Table1[Quantity] &gt; 2, "Bulk Order", "Standard Order")</f>
        <v>Bulk Order</v>
      </c>
    </row>
    <row r="491" ht="15.75" customHeight="1">
      <c r="A491" s="2" t="s">
        <v>1326</v>
      </c>
      <c r="B491" s="3">
        <v>45993.0</v>
      </c>
      <c r="C491" s="2" t="s">
        <v>1196</v>
      </c>
      <c r="D491" s="2" t="s">
        <v>1275</v>
      </c>
      <c r="E491" s="2">
        <v>65.0</v>
      </c>
      <c r="F491" s="2" t="s">
        <v>29</v>
      </c>
      <c r="G491" s="2" t="s">
        <v>1327</v>
      </c>
      <c r="H491" s="2" t="s">
        <v>56</v>
      </c>
      <c r="I491" s="2" t="s">
        <v>43</v>
      </c>
      <c r="J491" s="2">
        <v>9.0</v>
      </c>
      <c r="K491" s="4">
        <v>28541.36</v>
      </c>
      <c r="L491" s="5">
        <v>256872.24</v>
      </c>
      <c r="N491" s="2" t="str">
        <f>IF(Table1[Quantity] &gt; 2, "Bulk Order", "Standard Order")</f>
        <v>Bulk Order</v>
      </c>
    </row>
    <row r="492" ht="15.75" customHeight="1">
      <c r="A492" s="2" t="s">
        <v>1328</v>
      </c>
      <c r="B492" s="3">
        <v>45996.0</v>
      </c>
      <c r="C492" s="2" t="s">
        <v>1329</v>
      </c>
      <c r="D492" s="2" t="s">
        <v>486</v>
      </c>
      <c r="E492" s="2">
        <v>35.0</v>
      </c>
      <c r="F492" s="2" t="s">
        <v>37</v>
      </c>
      <c r="G492" s="2" t="s">
        <v>1327</v>
      </c>
      <c r="H492" s="2" t="s">
        <v>60</v>
      </c>
      <c r="I492" s="2" t="s">
        <v>43</v>
      </c>
      <c r="J492" s="2">
        <v>3.0</v>
      </c>
      <c r="K492" s="4">
        <v>9488.83</v>
      </c>
      <c r="L492" s="5">
        <v>28466.49</v>
      </c>
      <c r="N492" s="2" t="str">
        <f>IF(Table1[Quantity] &gt; 2, "Bulk Order", "Standard Order")</f>
        <v>Bulk Order</v>
      </c>
    </row>
    <row r="493" ht="15.75" customHeight="1">
      <c r="A493" s="2" t="s">
        <v>1330</v>
      </c>
      <c r="B493" s="3">
        <v>45763.0</v>
      </c>
      <c r="C493" s="2" t="s">
        <v>1331</v>
      </c>
      <c r="D493" s="2" t="s">
        <v>877</v>
      </c>
      <c r="E493" s="2">
        <v>30.0</v>
      </c>
      <c r="F493" s="2" t="s">
        <v>37</v>
      </c>
      <c r="G493" s="2" t="s">
        <v>1327</v>
      </c>
      <c r="H493" s="2" t="s">
        <v>56</v>
      </c>
      <c r="I493" s="2" t="s">
        <v>43</v>
      </c>
      <c r="J493" s="2">
        <v>8.0</v>
      </c>
      <c r="K493" s="4">
        <v>18024.34</v>
      </c>
      <c r="L493" s="5">
        <v>144194.72</v>
      </c>
      <c r="N493" s="2" t="str">
        <f>IF(Table1[Quantity] &gt; 2, "Bulk Order", "Standard Order")</f>
        <v>Bulk Order</v>
      </c>
    </row>
    <row r="494" ht="15.75" customHeight="1">
      <c r="A494" s="2" t="s">
        <v>1332</v>
      </c>
      <c r="B494" s="3">
        <v>45736.0</v>
      </c>
      <c r="C494" s="2" t="s">
        <v>1333</v>
      </c>
      <c r="D494" s="2" t="s">
        <v>213</v>
      </c>
      <c r="E494" s="2">
        <v>34.0</v>
      </c>
      <c r="F494" s="2" t="s">
        <v>37</v>
      </c>
      <c r="G494" s="2" t="s">
        <v>1327</v>
      </c>
      <c r="H494" s="2" t="s">
        <v>60</v>
      </c>
      <c r="I494" s="2" t="s">
        <v>43</v>
      </c>
      <c r="J494" s="2">
        <v>8.0</v>
      </c>
      <c r="K494" s="4">
        <v>23770.36</v>
      </c>
      <c r="L494" s="5">
        <v>190162.88</v>
      </c>
      <c r="N494" s="2" t="str">
        <f>IF(Table1[Quantity] &gt; 2, "Bulk Order", "Standard Order")</f>
        <v>Bulk Order</v>
      </c>
    </row>
    <row r="495" ht="15.75" customHeight="1">
      <c r="A495" s="2" t="s">
        <v>1334</v>
      </c>
      <c r="B495" s="3">
        <v>45950.0</v>
      </c>
      <c r="C495" s="2" t="s">
        <v>1335</v>
      </c>
      <c r="D495" s="2" t="s">
        <v>452</v>
      </c>
      <c r="E495" s="2">
        <v>29.0</v>
      </c>
      <c r="F495" s="2" t="s">
        <v>37</v>
      </c>
      <c r="G495" s="2" t="s">
        <v>1327</v>
      </c>
      <c r="H495" s="2" t="s">
        <v>31</v>
      </c>
      <c r="I495" s="2" t="s">
        <v>32</v>
      </c>
      <c r="J495" s="2">
        <v>4.0</v>
      </c>
      <c r="K495" s="4">
        <v>4794.08</v>
      </c>
      <c r="L495" s="5">
        <v>19176.32</v>
      </c>
      <c r="N495" s="2" t="str">
        <f>IF(Table1[Quantity] &gt; 2, "Bulk Order", "Standard Order")</f>
        <v>Bulk Order</v>
      </c>
    </row>
    <row r="496" ht="15.75" customHeight="1">
      <c r="A496" s="2" t="s">
        <v>1336</v>
      </c>
      <c r="B496" s="3">
        <v>45767.0</v>
      </c>
      <c r="C496" s="2" t="s">
        <v>1337</v>
      </c>
      <c r="D496" s="2" t="s">
        <v>593</v>
      </c>
      <c r="E496" s="2">
        <v>43.0</v>
      </c>
      <c r="F496" s="2" t="s">
        <v>29</v>
      </c>
      <c r="G496" s="2" t="s">
        <v>1327</v>
      </c>
      <c r="H496" s="2" t="s">
        <v>56</v>
      </c>
      <c r="I496" s="2" t="s">
        <v>43</v>
      </c>
      <c r="J496" s="2">
        <v>4.0</v>
      </c>
      <c r="K496" s="4">
        <v>29915.72</v>
      </c>
      <c r="L496" s="5">
        <v>119662.88</v>
      </c>
      <c r="N496" s="2" t="str">
        <f>IF(Table1[Quantity] &gt; 2, "Bulk Order", "Standard Order")</f>
        <v>Bulk Order</v>
      </c>
    </row>
    <row r="497" ht="15.75" customHeight="1">
      <c r="A497" s="2" t="s">
        <v>1338</v>
      </c>
      <c r="B497" s="3">
        <v>45955.0</v>
      </c>
      <c r="C497" s="2" t="s">
        <v>1339</v>
      </c>
      <c r="D497" s="2" t="s">
        <v>1340</v>
      </c>
      <c r="E497" s="2">
        <v>55.0</v>
      </c>
      <c r="F497" s="2" t="s">
        <v>37</v>
      </c>
      <c r="G497" s="2" t="s">
        <v>1327</v>
      </c>
      <c r="H497" s="2" t="s">
        <v>56</v>
      </c>
      <c r="I497" s="2" t="s">
        <v>43</v>
      </c>
      <c r="J497" s="2">
        <v>5.0</v>
      </c>
      <c r="K497" s="4">
        <v>24854.05</v>
      </c>
      <c r="L497" s="5">
        <v>124270.25</v>
      </c>
      <c r="N497" s="2" t="str">
        <f>IF(Table1[Quantity] &gt; 2, "Bulk Order", "Standard Order")</f>
        <v>Bulk Order</v>
      </c>
    </row>
    <row r="498" ht="15.75" customHeight="1">
      <c r="A498" s="2" t="s">
        <v>1341</v>
      </c>
      <c r="B498" s="3">
        <v>45853.0</v>
      </c>
      <c r="C498" s="2" t="s">
        <v>1342</v>
      </c>
      <c r="D498" s="2" t="s">
        <v>590</v>
      </c>
      <c r="E498" s="2">
        <v>43.0</v>
      </c>
      <c r="F498" s="2" t="s">
        <v>29</v>
      </c>
      <c r="G498" s="2" t="s">
        <v>1327</v>
      </c>
      <c r="H498" s="2" t="s">
        <v>60</v>
      </c>
      <c r="I498" s="2" t="s">
        <v>43</v>
      </c>
      <c r="J498" s="2">
        <v>3.0</v>
      </c>
      <c r="K498" s="4">
        <v>5679.91</v>
      </c>
      <c r="L498" s="5">
        <v>17039.73</v>
      </c>
      <c r="N498" s="2" t="str">
        <f>IF(Table1[Quantity] &gt; 2, "Bulk Order", "Standard Order")</f>
        <v>Bulk Order</v>
      </c>
    </row>
    <row r="499" ht="15.75" customHeight="1">
      <c r="A499" s="2" t="s">
        <v>1343</v>
      </c>
      <c r="B499" s="3">
        <v>45863.0</v>
      </c>
      <c r="C499" s="2" t="s">
        <v>1344</v>
      </c>
      <c r="D499" s="2" t="s">
        <v>92</v>
      </c>
      <c r="E499" s="2">
        <v>53.0</v>
      </c>
      <c r="F499" s="2" t="s">
        <v>37</v>
      </c>
      <c r="G499" s="2" t="s">
        <v>1327</v>
      </c>
      <c r="H499" s="2" t="s">
        <v>56</v>
      </c>
      <c r="I499" s="2" t="s">
        <v>43</v>
      </c>
      <c r="J499" s="2">
        <v>10.0</v>
      </c>
      <c r="K499" s="4">
        <v>8905.49</v>
      </c>
      <c r="L499" s="5">
        <v>89054.9</v>
      </c>
      <c r="N499" s="2" t="str">
        <f>IF(Table1[Quantity] &gt; 2, "Bulk Order", "Standard Order")</f>
        <v>Bulk Order</v>
      </c>
    </row>
    <row r="500" ht="15.75" customHeight="1">
      <c r="A500" s="2" t="s">
        <v>1345</v>
      </c>
      <c r="B500" s="3">
        <v>46008.0</v>
      </c>
      <c r="C500" s="2" t="s">
        <v>1346</v>
      </c>
      <c r="D500" s="2" t="s">
        <v>297</v>
      </c>
      <c r="E500" s="2">
        <v>59.0</v>
      </c>
      <c r="F500" s="2" t="s">
        <v>29</v>
      </c>
      <c r="G500" s="2" t="s">
        <v>1327</v>
      </c>
      <c r="H500" s="2" t="s">
        <v>56</v>
      </c>
      <c r="I500" s="2" t="s">
        <v>43</v>
      </c>
      <c r="J500" s="2">
        <v>6.0</v>
      </c>
      <c r="K500" s="4">
        <v>349.06</v>
      </c>
      <c r="L500" s="5">
        <v>2094.36</v>
      </c>
      <c r="N500" s="2" t="str">
        <f>IF(Table1[Quantity] &gt; 2, "Bulk Order", "Standard Order")</f>
        <v>Bulk Order</v>
      </c>
    </row>
    <row r="501" ht="15.75" customHeight="1">
      <c r="A501" s="2" t="s">
        <v>1347</v>
      </c>
      <c r="B501" s="3">
        <v>46015.0</v>
      </c>
      <c r="C501" s="2" t="s">
        <v>1348</v>
      </c>
      <c r="D501" s="2" t="s">
        <v>1021</v>
      </c>
      <c r="E501" s="2">
        <v>48.0</v>
      </c>
      <c r="F501" s="2" t="s">
        <v>37</v>
      </c>
      <c r="G501" s="2" t="s">
        <v>1327</v>
      </c>
      <c r="H501" s="2" t="s">
        <v>60</v>
      </c>
      <c r="I501" s="2" t="s">
        <v>43</v>
      </c>
      <c r="J501" s="2">
        <v>2.0</v>
      </c>
      <c r="K501" s="4">
        <v>3455.06</v>
      </c>
      <c r="L501" s="5">
        <v>6910.12</v>
      </c>
      <c r="N501" s="2" t="str">
        <f>IF(Table1[Quantity] &gt; 2, "Bulk Order", "Standard Order")</f>
        <v>Standard Order</v>
      </c>
    </row>
    <row r="502" ht="15.75" customHeight="1">
      <c r="A502" s="2" t="s">
        <v>1349</v>
      </c>
      <c r="B502" s="3">
        <v>46010.0</v>
      </c>
      <c r="C502" s="2" t="s">
        <v>1350</v>
      </c>
      <c r="D502" s="2" t="s">
        <v>118</v>
      </c>
      <c r="E502" s="2">
        <v>20.0</v>
      </c>
      <c r="F502" s="2" t="s">
        <v>29</v>
      </c>
      <c r="G502" s="2" t="s">
        <v>1327</v>
      </c>
      <c r="H502" s="2" t="s">
        <v>42</v>
      </c>
      <c r="I502" s="2" t="s">
        <v>41</v>
      </c>
      <c r="J502" s="2">
        <v>9.0</v>
      </c>
      <c r="K502" s="4">
        <v>19437.88</v>
      </c>
      <c r="L502" s="5">
        <v>174940.92</v>
      </c>
      <c r="N502" s="2" t="str">
        <f>IF(Table1[Quantity] &gt; 2, "Bulk Order", "Standard Order")</f>
        <v>Bulk Order</v>
      </c>
    </row>
    <row r="503" ht="15.75" customHeight="1">
      <c r="A503" s="2" t="s">
        <v>1351</v>
      </c>
      <c r="B503" s="3">
        <v>45904.0</v>
      </c>
      <c r="C503" s="2" t="s">
        <v>1352</v>
      </c>
      <c r="D503" s="2" t="s">
        <v>184</v>
      </c>
      <c r="E503" s="2">
        <v>28.0</v>
      </c>
      <c r="F503" s="2" t="s">
        <v>29</v>
      </c>
      <c r="G503" s="2" t="s">
        <v>1327</v>
      </c>
      <c r="H503" s="2" t="s">
        <v>60</v>
      </c>
      <c r="I503" s="2" t="s">
        <v>43</v>
      </c>
      <c r="J503" s="2">
        <v>6.0</v>
      </c>
      <c r="K503" s="4">
        <v>5533.0</v>
      </c>
      <c r="L503" s="5">
        <v>33198.0</v>
      </c>
      <c r="N503" s="2" t="str">
        <f>IF(Table1[Quantity] &gt; 2, "Bulk Order", "Standard Order")</f>
        <v>Bulk Order</v>
      </c>
    </row>
    <row r="504" ht="15.75" customHeight="1">
      <c r="A504" s="2" t="s">
        <v>137</v>
      </c>
      <c r="B504" s="3">
        <v>45679.0</v>
      </c>
      <c r="C504" s="2" t="s">
        <v>1353</v>
      </c>
      <c r="D504" s="2" t="s">
        <v>1354</v>
      </c>
      <c r="E504" s="2">
        <v>34.0</v>
      </c>
      <c r="F504" s="2" t="s">
        <v>37</v>
      </c>
      <c r="G504" s="2" t="s">
        <v>1327</v>
      </c>
      <c r="H504" s="2" t="s">
        <v>42</v>
      </c>
      <c r="I504" s="2" t="s">
        <v>41</v>
      </c>
      <c r="J504" s="2">
        <v>2.0</v>
      </c>
      <c r="K504" s="4">
        <v>25795.55</v>
      </c>
      <c r="L504" s="5">
        <v>51591.1</v>
      </c>
      <c r="N504" s="2" t="str">
        <f>IF(Table1[Quantity] &gt; 2, "Bulk Order", "Standard Order")</f>
        <v>Standard Order</v>
      </c>
    </row>
    <row r="505" ht="15.75" customHeight="1">
      <c r="A505" s="2" t="s">
        <v>1355</v>
      </c>
      <c r="B505" s="3">
        <v>45869.0</v>
      </c>
      <c r="C505" s="2" t="s">
        <v>1356</v>
      </c>
      <c r="D505" s="2" t="s">
        <v>1010</v>
      </c>
      <c r="E505" s="2">
        <v>54.0</v>
      </c>
      <c r="F505" s="2" t="s">
        <v>37</v>
      </c>
      <c r="G505" s="2" t="s">
        <v>1327</v>
      </c>
      <c r="H505" s="2" t="s">
        <v>42</v>
      </c>
      <c r="I505" s="2" t="s">
        <v>41</v>
      </c>
      <c r="J505" s="2">
        <v>6.0</v>
      </c>
      <c r="K505" s="4">
        <v>33887.35</v>
      </c>
      <c r="L505" s="5">
        <v>203324.1</v>
      </c>
      <c r="N505" s="2" t="str">
        <f>IF(Table1[Quantity] &gt; 2, "Bulk Order", "Standard Order")</f>
        <v>Bulk Order</v>
      </c>
    </row>
    <row r="506" ht="15.75" customHeight="1">
      <c r="A506" s="2" t="s">
        <v>1357</v>
      </c>
      <c r="B506" s="3">
        <v>45838.0</v>
      </c>
      <c r="C506" s="2" t="s">
        <v>1358</v>
      </c>
      <c r="D506" s="2" t="s">
        <v>1359</v>
      </c>
      <c r="E506" s="2">
        <v>32.0</v>
      </c>
      <c r="F506" s="2" t="s">
        <v>29</v>
      </c>
      <c r="G506" s="2" t="s">
        <v>1327</v>
      </c>
      <c r="H506" s="2" t="s">
        <v>56</v>
      </c>
      <c r="I506" s="2" t="s">
        <v>43</v>
      </c>
      <c r="J506" s="2">
        <v>3.0</v>
      </c>
      <c r="K506" s="4">
        <v>28572.4</v>
      </c>
      <c r="L506" s="5">
        <v>85717.2</v>
      </c>
      <c r="N506" s="2" t="str">
        <f>IF(Table1[Quantity] &gt; 2, "Bulk Order", "Standard Order")</f>
        <v>Bulk Order</v>
      </c>
    </row>
    <row r="507" ht="15.75" customHeight="1">
      <c r="A507" s="2" t="s">
        <v>1360</v>
      </c>
      <c r="B507" s="3">
        <v>45704.0</v>
      </c>
      <c r="C507" s="2" t="s">
        <v>1361</v>
      </c>
      <c r="D507" s="2" t="s">
        <v>1359</v>
      </c>
      <c r="E507" s="2">
        <v>30.0</v>
      </c>
      <c r="F507" s="2" t="s">
        <v>29</v>
      </c>
      <c r="G507" s="2" t="s">
        <v>1327</v>
      </c>
      <c r="H507" s="2" t="s">
        <v>56</v>
      </c>
      <c r="I507" s="2" t="s">
        <v>43</v>
      </c>
      <c r="J507" s="2">
        <v>7.0</v>
      </c>
      <c r="K507" s="4">
        <v>28469.0</v>
      </c>
      <c r="L507" s="5">
        <v>199283.0</v>
      </c>
      <c r="N507" s="2" t="str">
        <f>IF(Table1[Quantity] &gt; 2, "Bulk Order", "Standard Order")</f>
        <v>Bulk Order</v>
      </c>
    </row>
    <row r="508" ht="15.75" customHeight="1">
      <c r="A508" s="2" t="s">
        <v>1362</v>
      </c>
      <c r="B508" s="3">
        <v>45811.0</v>
      </c>
      <c r="C508" s="2" t="s">
        <v>1363</v>
      </c>
      <c r="D508" s="2" t="s">
        <v>1364</v>
      </c>
      <c r="E508" s="2">
        <v>27.0</v>
      </c>
      <c r="F508" s="2" t="s">
        <v>29</v>
      </c>
      <c r="G508" s="2" t="s">
        <v>1327</v>
      </c>
      <c r="H508" s="2" t="s">
        <v>56</v>
      </c>
      <c r="I508" s="2" t="s">
        <v>43</v>
      </c>
      <c r="J508" s="2">
        <v>9.0</v>
      </c>
      <c r="K508" s="4">
        <v>22636.01</v>
      </c>
      <c r="L508" s="5">
        <v>203724.09</v>
      </c>
      <c r="N508" s="2" t="str">
        <f>IF(Table1[Quantity] &gt; 2, "Bulk Order", "Standard Order")</f>
        <v>Bulk Order</v>
      </c>
    </row>
    <row r="509" ht="15.75" customHeight="1">
      <c r="A509" s="2" t="s">
        <v>1365</v>
      </c>
      <c r="B509" s="3">
        <v>45721.0</v>
      </c>
      <c r="C509" s="2" t="s">
        <v>1366</v>
      </c>
      <c r="D509" s="2" t="s">
        <v>1367</v>
      </c>
      <c r="E509" s="2">
        <v>27.0</v>
      </c>
      <c r="F509" s="2" t="s">
        <v>37</v>
      </c>
      <c r="G509" s="2" t="s">
        <v>1327</v>
      </c>
      <c r="H509" s="2" t="s">
        <v>60</v>
      </c>
      <c r="I509" s="2" t="s">
        <v>43</v>
      </c>
      <c r="J509" s="2">
        <v>5.0</v>
      </c>
      <c r="K509" s="4">
        <v>1423.81</v>
      </c>
      <c r="L509" s="5">
        <v>7119.05</v>
      </c>
      <c r="N509" s="2" t="str">
        <f>IF(Table1[Quantity] &gt; 2, "Bulk Order", "Standard Order")</f>
        <v>Bulk Order</v>
      </c>
    </row>
    <row r="510" ht="15.75" customHeight="1">
      <c r="A510" s="2" t="s">
        <v>1368</v>
      </c>
      <c r="B510" s="3">
        <v>45954.0</v>
      </c>
      <c r="C510" s="2" t="s">
        <v>1369</v>
      </c>
      <c r="D510" s="2" t="s">
        <v>510</v>
      </c>
      <c r="E510" s="2">
        <v>43.0</v>
      </c>
      <c r="F510" s="2" t="s">
        <v>37</v>
      </c>
      <c r="G510" s="2" t="s">
        <v>1327</v>
      </c>
      <c r="H510" s="2" t="s">
        <v>74</v>
      </c>
      <c r="I510" s="2" t="s">
        <v>45</v>
      </c>
      <c r="J510" s="2">
        <v>2.0</v>
      </c>
      <c r="K510" s="4">
        <v>44336.38</v>
      </c>
      <c r="L510" s="5">
        <v>88672.76</v>
      </c>
      <c r="N510" s="2" t="str">
        <f>IF(Table1[Quantity] &gt; 2, "Bulk Order", "Standard Order")</f>
        <v>Standard Order</v>
      </c>
    </row>
    <row r="511" ht="15.75" customHeight="1">
      <c r="A511" s="2" t="s">
        <v>1370</v>
      </c>
      <c r="B511" s="3">
        <v>45714.0</v>
      </c>
      <c r="C511" s="2" t="s">
        <v>1371</v>
      </c>
      <c r="D511" s="2" t="s">
        <v>1107</v>
      </c>
      <c r="E511" s="2">
        <v>55.0</v>
      </c>
      <c r="F511" s="2" t="s">
        <v>29</v>
      </c>
      <c r="G511" s="2" t="s">
        <v>1327</v>
      </c>
      <c r="H511" s="2" t="s">
        <v>56</v>
      </c>
      <c r="I511" s="2" t="s">
        <v>43</v>
      </c>
      <c r="J511" s="2">
        <v>4.0</v>
      </c>
      <c r="K511" s="4">
        <v>26460.39</v>
      </c>
      <c r="L511" s="5">
        <v>105841.56</v>
      </c>
      <c r="N511" s="2" t="str">
        <f>IF(Table1[Quantity] &gt; 2, "Bulk Order", "Standard Order")</f>
        <v>Bulk Order</v>
      </c>
    </row>
    <row r="512" ht="15.75" customHeight="1">
      <c r="A512" s="2" t="s">
        <v>1372</v>
      </c>
      <c r="B512" s="3">
        <v>45712.0</v>
      </c>
      <c r="C512" s="2" t="s">
        <v>1373</v>
      </c>
      <c r="D512" s="2" t="s">
        <v>1374</v>
      </c>
      <c r="F512" s="2" t="s">
        <v>29</v>
      </c>
      <c r="G512" s="2" t="s">
        <v>1327</v>
      </c>
      <c r="H512" s="2" t="s">
        <v>31</v>
      </c>
      <c r="I512" s="2" t="s">
        <v>32</v>
      </c>
      <c r="J512" s="2">
        <v>8.0</v>
      </c>
      <c r="K512" s="4">
        <v>27608.55</v>
      </c>
      <c r="L512" s="5">
        <v>220868.4</v>
      </c>
      <c r="N512" s="2" t="str">
        <f>IF(Table1[Quantity] &gt; 2, "Bulk Order", "Standard Order")</f>
        <v>Bulk Order</v>
      </c>
    </row>
    <row r="513" ht="15.75" customHeight="1">
      <c r="A513" s="2" t="s">
        <v>1375</v>
      </c>
      <c r="B513" s="3">
        <v>45714.0</v>
      </c>
      <c r="C513" s="2" t="s">
        <v>1376</v>
      </c>
      <c r="D513" s="2" t="s">
        <v>822</v>
      </c>
      <c r="E513" s="2">
        <v>59.0</v>
      </c>
      <c r="F513" s="2" t="s">
        <v>29</v>
      </c>
      <c r="G513" s="2" t="s">
        <v>1327</v>
      </c>
      <c r="H513" s="2" t="s">
        <v>74</v>
      </c>
      <c r="I513" s="2" t="s">
        <v>45</v>
      </c>
      <c r="J513" s="2">
        <v>9.0</v>
      </c>
      <c r="K513" s="4">
        <v>16533.74</v>
      </c>
      <c r="L513" s="5">
        <v>148803.66</v>
      </c>
      <c r="N513" s="2" t="str">
        <f>IF(Table1[Quantity] &gt; 2, "Bulk Order", "Standard Order")</f>
        <v>Bulk Order</v>
      </c>
    </row>
    <row r="514" ht="15.75" customHeight="1">
      <c r="A514" s="2" t="s">
        <v>1377</v>
      </c>
      <c r="B514" s="3">
        <v>45713.0</v>
      </c>
      <c r="C514" s="2" t="s">
        <v>1378</v>
      </c>
      <c r="D514" s="2" t="s">
        <v>532</v>
      </c>
      <c r="E514" s="2">
        <v>31.0</v>
      </c>
      <c r="F514" s="2" t="s">
        <v>37</v>
      </c>
      <c r="G514" s="2" t="s">
        <v>1327</v>
      </c>
      <c r="H514" s="2" t="s">
        <v>64</v>
      </c>
      <c r="I514" s="2" t="s">
        <v>44</v>
      </c>
      <c r="J514" s="2">
        <v>8.0</v>
      </c>
      <c r="K514" s="4">
        <v>2636.28</v>
      </c>
      <c r="L514" s="5">
        <v>21090.24</v>
      </c>
      <c r="N514" s="2" t="str">
        <f>IF(Table1[Quantity] &gt; 2, "Bulk Order", "Standard Order")</f>
        <v>Bulk Order</v>
      </c>
    </row>
    <row r="515" ht="15.75" customHeight="1">
      <c r="A515" s="2" t="s">
        <v>1379</v>
      </c>
      <c r="B515" s="3">
        <v>45752.0</v>
      </c>
      <c r="C515" s="2" t="s">
        <v>1380</v>
      </c>
      <c r="D515" s="2" t="s">
        <v>901</v>
      </c>
      <c r="E515" s="2">
        <v>40.0</v>
      </c>
      <c r="F515" s="2" t="s">
        <v>29</v>
      </c>
      <c r="G515" s="2" t="s">
        <v>1327</v>
      </c>
      <c r="H515" s="2" t="s">
        <v>56</v>
      </c>
      <c r="I515" s="2" t="s">
        <v>43</v>
      </c>
      <c r="J515" s="2">
        <v>6.0</v>
      </c>
      <c r="K515" s="4">
        <v>34808.76</v>
      </c>
      <c r="L515" s="5">
        <v>208852.56</v>
      </c>
      <c r="N515" s="2" t="str">
        <f>IF(Table1[Quantity] &gt; 2, "Bulk Order", "Standard Order")</f>
        <v>Bulk Order</v>
      </c>
    </row>
    <row r="516" ht="15.75" customHeight="1">
      <c r="A516" s="2" t="s">
        <v>1381</v>
      </c>
      <c r="B516" s="3">
        <v>45937.0</v>
      </c>
      <c r="C516" s="2" t="s">
        <v>1382</v>
      </c>
      <c r="D516" s="2" t="s">
        <v>1383</v>
      </c>
      <c r="E516" s="2">
        <v>39.0</v>
      </c>
      <c r="F516" s="2" t="s">
        <v>37</v>
      </c>
      <c r="G516" s="2" t="s">
        <v>1327</v>
      </c>
      <c r="H516" s="2" t="s">
        <v>56</v>
      </c>
      <c r="I516" s="2" t="s">
        <v>43</v>
      </c>
      <c r="J516" s="2">
        <v>6.0</v>
      </c>
      <c r="K516" s="4">
        <v>20308.85</v>
      </c>
      <c r="L516" s="5">
        <v>121853.1</v>
      </c>
      <c r="N516" s="2" t="str">
        <f>IF(Table1[Quantity] &gt; 2, "Bulk Order", "Standard Order")</f>
        <v>Bulk Order</v>
      </c>
    </row>
    <row r="517" ht="15.75" customHeight="1">
      <c r="A517" s="2" t="s">
        <v>1384</v>
      </c>
      <c r="B517" s="3">
        <v>45692.0</v>
      </c>
      <c r="C517" s="2" t="s">
        <v>1385</v>
      </c>
      <c r="D517" s="2" t="s">
        <v>1386</v>
      </c>
      <c r="E517" s="2">
        <v>40.0</v>
      </c>
      <c r="F517" s="2" t="s">
        <v>29</v>
      </c>
      <c r="G517" s="2" t="s">
        <v>1327</v>
      </c>
      <c r="H517" s="2" t="s">
        <v>64</v>
      </c>
      <c r="I517" s="2" t="s">
        <v>44</v>
      </c>
      <c r="J517" s="2">
        <v>7.0</v>
      </c>
      <c r="K517" s="4">
        <v>28710.98</v>
      </c>
      <c r="L517" s="5">
        <v>200976.86</v>
      </c>
      <c r="N517" s="2" t="str">
        <f>IF(Table1[Quantity] &gt; 2, "Bulk Order", "Standard Order")</f>
        <v>Bulk Order</v>
      </c>
    </row>
    <row r="518" ht="15.75" customHeight="1">
      <c r="A518" s="2" t="s">
        <v>1387</v>
      </c>
      <c r="B518" s="3">
        <v>45763.0</v>
      </c>
      <c r="C518" s="2" t="s">
        <v>1388</v>
      </c>
      <c r="D518" s="2" t="s">
        <v>1389</v>
      </c>
      <c r="E518" s="2">
        <v>50.0</v>
      </c>
      <c r="F518" s="2" t="s">
        <v>37</v>
      </c>
      <c r="G518" s="2" t="s">
        <v>1327</v>
      </c>
      <c r="H518" s="2" t="s">
        <v>42</v>
      </c>
      <c r="I518" s="2" t="s">
        <v>41</v>
      </c>
      <c r="J518" s="2">
        <v>2.0</v>
      </c>
      <c r="K518" s="4">
        <v>1655.36</v>
      </c>
      <c r="L518" s="5">
        <v>3310.72</v>
      </c>
      <c r="N518" s="2" t="str">
        <f>IF(Table1[Quantity] &gt; 2, "Bulk Order", "Standard Order")</f>
        <v>Standard Order</v>
      </c>
    </row>
    <row r="519" ht="15.75" customHeight="1">
      <c r="A519" s="2" t="s">
        <v>1390</v>
      </c>
      <c r="B519" s="3">
        <v>45886.0</v>
      </c>
      <c r="C519" s="2" t="s">
        <v>1391</v>
      </c>
      <c r="D519" s="2" t="s">
        <v>784</v>
      </c>
      <c r="E519" s="2">
        <v>41.0</v>
      </c>
      <c r="F519" s="2" t="s">
        <v>29</v>
      </c>
      <c r="G519" s="2" t="s">
        <v>1327</v>
      </c>
      <c r="H519" s="2" t="s">
        <v>42</v>
      </c>
      <c r="I519" s="2" t="s">
        <v>41</v>
      </c>
      <c r="J519" s="2">
        <v>4.0</v>
      </c>
      <c r="K519" s="4">
        <v>44463.18</v>
      </c>
      <c r="L519" s="5">
        <v>177852.72</v>
      </c>
      <c r="N519" s="2" t="str">
        <f>IF(Table1[Quantity] &gt; 2, "Bulk Order", "Standard Order")</f>
        <v>Bulk Order</v>
      </c>
    </row>
    <row r="520" ht="15.75" customHeight="1">
      <c r="A520" s="2" t="s">
        <v>1392</v>
      </c>
      <c r="B520" s="3">
        <v>45955.0</v>
      </c>
      <c r="C520" s="2" t="s">
        <v>1393</v>
      </c>
      <c r="D520" s="2" t="s">
        <v>568</v>
      </c>
      <c r="E520" s="2">
        <v>54.0</v>
      </c>
      <c r="F520" s="2" t="s">
        <v>37</v>
      </c>
      <c r="G520" s="2" t="s">
        <v>1327</v>
      </c>
      <c r="H520" s="2" t="s">
        <v>60</v>
      </c>
      <c r="I520" s="2" t="s">
        <v>43</v>
      </c>
      <c r="J520" s="2">
        <v>5.0</v>
      </c>
      <c r="K520" s="4">
        <v>16404.25</v>
      </c>
      <c r="L520" s="5">
        <v>82021.25</v>
      </c>
      <c r="N520" s="2" t="str">
        <f>IF(Table1[Quantity] &gt; 2, "Bulk Order", "Standard Order")</f>
        <v>Bulk Order</v>
      </c>
    </row>
    <row r="521" ht="15.75" customHeight="1">
      <c r="A521" s="2" t="s">
        <v>1394</v>
      </c>
      <c r="B521" s="3">
        <v>45666.0</v>
      </c>
      <c r="C521" s="2" t="s">
        <v>1395</v>
      </c>
      <c r="D521" s="2" t="s">
        <v>1261</v>
      </c>
      <c r="E521" s="2">
        <v>39.0</v>
      </c>
      <c r="F521" s="2" t="s">
        <v>29</v>
      </c>
      <c r="G521" s="2" t="s">
        <v>1327</v>
      </c>
      <c r="H521" s="2" t="s">
        <v>60</v>
      </c>
      <c r="I521" s="2" t="s">
        <v>43</v>
      </c>
      <c r="J521" s="2">
        <v>6.0</v>
      </c>
      <c r="K521" s="4">
        <v>22627.46</v>
      </c>
      <c r="L521" s="5">
        <v>135764.76</v>
      </c>
      <c r="N521" s="2" t="str">
        <f>IF(Table1[Quantity] &gt; 2, "Bulk Order", "Standard Order")</f>
        <v>Bulk Order</v>
      </c>
    </row>
    <row r="522" ht="15.75" customHeight="1">
      <c r="A522" s="2" t="s">
        <v>1396</v>
      </c>
      <c r="B522" s="3">
        <v>45968.0</v>
      </c>
      <c r="C522" s="2" t="s">
        <v>1397</v>
      </c>
      <c r="D522" s="2" t="s">
        <v>1398</v>
      </c>
      <c r="E522" s="2">
        <v>31.0</v>
      </c>
      <c r="F522" s="2" t="s">
        <v>37</v>
      </c>
      <c r="G522" s="2" t="s">
        <v>1327</v>
      </c>
      <c r="H522" s="2" t="s">
        <v>64</v>
      </c>
      <c r="I522" s="2" t="s">
        <v>44</v>
      </c>
      <c r="J522" s="2">
        <v>2.0</v>
      </c>
      <c r="K522" s="4">
        <v>17100.29</v>
      </c>
      <c r="L522" s="5">
        <v>34200.58</v>
      </c>
      <c r="N522" s="2" t="str">
        <f>IF(Table1[Quantity] &gt; 2, "Bulk Order", "Standard Order")</f>
        <v>Standard Order</v>
      </c>
    </row>
    <row r="523" ht="15.75" customHeight="1">
      <c r="A523" s="2" t="s">
        <v>1399</v>
      </c>
      <c r="B523" s="3">
        <v>45763.0</v>
      </c>
      <c r="C523" s="2" t="s">
        <v>1400</v>
      </c>
      <c r="D523" s="2" t="s">
        <v>1184</v>
      </c>
      <c r="E523" s="2">
        <v>44.0</v>
      </c>
      <c r="F523" s="2" t="s">
        <v>29</v>
      </c>
      <c r="G523" s="2" t="s">
        <v>1327</v>
      </c>
      <c r="H523" s="2" t="s">
        <v>42</v>
      </c>
      <c r="I523" s="2" t="s">
        <v>41</v>
      </c>
      <c r="J523" s="2">
        <v>5.0</v>
      </c>
      <c r="K523" s="4">
        <v>3842.06</v>
      </c>
      <c r="L523" s="5">
        <v>19210.3</v>
      </c>
      <c r="N523" s="2" t="str">
        <f>IF(Table1[Quantity] &gt; 2, "Bulk Order", "Standard Order")</f>
        <v>Bulk Order</v>
      </c>
    </row>
    <row r="524" ht="15.75" customHeight="1">
      <c r="A524" s="2" t="s">
        <v>1401</v>
      </c>
      <c r="B524" s="3">
        <v>45912.0</v>
      </c>
      <c r="C524" s="2" t="s">
        <v>1402</v>
      </c>
      <c r="D524" s="2" t="s">
        <v>1403</v>
      </c>
      <c r="E524" s="2">
        <v>30.0</v>
      </c>
      <c r="F524" s="2" t="s">
        <v>37</v>
      </c>
      <c r="G524" s="2" t="s">
        <v>1327</v>
      </c>
      <c r="H524" s="2" t="s">
        <v>56</v>
      </c>
      <c r="I524" s="2" t="s">
        <v>43</v>
      </c>
      <c r="J524" s="2">
        <v>5.0</v>
      </c>
      <c r="K524" s="4">
        <v>9509.13</v>
      </c>
      <c r="L524" s="5">
        <v>47545.65</v>
      </c>
      <c r="N524" s="2" t="str">
        <f>IF(Table1[Quantity] &gt; 2, "Bulk Order", "Standard Order")</f>
        <v>Bulk Order</v>
      </c>
    </row>
    <row r="525" ht="15.75" customHeight="1">
      <c r="A525" s="2" t="s">
        <v>1404</v>
      </c>
      <c r="B525" s="3">
        <v>46003.0</v>
      </c>
      <c r="C525" s="2" t="s">
        <v>1405</v>
      </c>
      <c r="D525" s="2" t="s">
        <v>1406</v>
      </c>
      <c r="E525" s="2">
        <v>50.0</v>
      </c>
      <c r="F525" s="2" t="s">
        <v>37</v>
      </c>
      <c r="G525" s="2" t="s">
        <v>1327</v>
      </c>
      <c r="H525" s="2" t="s">
        <v>42</v>
      </c>
      <c r="I525" s="2" t="s">
        <v>41</v>
      </c>
      <c r="J525" s="2">
        <v>7.0</v>
      </c>
      <c r="K525" s="4">
        <v>43207.91</v>
      </c>
      <c r="L525" s="5">
        <v>302455.37</v>
      </c>
      <c r="N525" s="2" t="str">
        <f>IF(Table1[Quantity] &gt; 2, "Bulk Order", "Standard Order")</f>
        <v>Bulk Order</v>
      </c>
    </row>
    <row r="526" ht="15.75" customHeight="1">
      <c r="A526" s="2" t="s">
        <v>1407</v>
      </c>
      <c r="B526" s="3">
        <v>45687.0</v>
      </c>
      <c r="C526" s="2" t="s">
        <v>1408</v>
      </c>
      <c r="D526" s="2" t="s">
        <v>957</v>
      </c>
      <c r="E526" s="2">
        <v>51.0</v>
      </c>
      <c r="F526" s="2" t="s">
        <v>37</v>
      </c>
      <c r="G526" s="2" t="s">
        <v>1327</v>
      </c>
      <c r="H526" s="2" t="s">
        <v>56</v>
      </c>
      <c r="I526" s="2" t="s">
        <v>43</v>
      </c>
      <c r="J526" s="2">
        <v>2.0</v>
      </c>
      <c r="K526" s="4">
        <v>21816.67</v>
      </c>
      <c r="L526" s="5">
        <v>43633.34</v>
      </c>
      <c r="N526" s="2" t="str">
        <f>IF(Table1[Quantity] &gt; 2, "Bulk Order", "Standard Order")</f>
        <v>Standard Order</v>
      </c>
    </row>
    <row r="527" ht="15.75" customHeight="1">
      <c r="A527" s="2" t="s">
        <v>1409</v>
      </c>
      <c r="B527" s="3">
        <v>45884.0</v>
      </c>
      <c r="C527" s="2" t="s">
        <v>1410</v>
      </c>
      <c r="D527" s="2" t="s">
        <v>1174</v>
      </c>
      <c r="E527" s="2">
        <v>56.0</v>
      </c>
      <c r="F527" s="2" t="s">
        <v>29</v>
      </c>
      <c r="G527" s="2" t="s">
        <v>1327</v>
      </c>
      <c r="H527" s="2" t="s">
        <v>74</v>
      </c>
      <c r="I527" s="2" t="s">
        <v>45</v>
      </c>
      <c r="J527" s="2">
        <v>10.0</v>
      </c>
      <c r="K527" s="4">
        <v>16222.64</v>
      </c>
      <c r="L527" s="5">
        <v>162226.4</v>
      </c>
      <c r="N527" s="2" t="str">
        <f>IF(Table1[Quantity] &gt; 2, "Bulk Order", "Standard Order")</f>
        <v>Bulk Order</v>
      </c>
    </row>
    <row r="528" ht="15.75" customHeight="1">
      <c r="A528" s="2" t="s">
        <v>1411</v>
      </c>
      <c r="B528" s="3">
        <v>45691.0</v>
      </c>
      <c r="C528" s="2" t="s">
        <v>962</v>
      </c>
      <c r="D528" s="2" t="s">
        <v>1275</v>
      </c>
      <c r="E528" s="2">
        <v>44.0</v>
      </c>
      <c r="F528" s="2" t="s">
        <v>37</v>
      </c>
      <c r="G528" s="2" t="s">
        <v>1327</v>
      </c>
      <c r="H528" s="2" t="s">
        <v>64</v>
      </c>
      <c r="I528" s="2" t="s">
        <v>44</v>
      </c>
      <c r="J528" s="2">
        <v>4.0</v>
      </c>
      <c r="K528" s="4">
        <v>2247.11</v>
      </c>
      <c r="L528" s="5">
        <v>8988.44</v>
      </c>
      <c r="N528" s="2" t="str">
        <f>IF(Table1[Quantity] &gt; 2, "Bulk Order", "Standard Order")</f>
        <v>Bulk Order</v>
      </c>
    </row>
    <row r="529" ht="15.75" customHeight="1">
      <c r="A529" s="2" t="s">
        <v>1412</v>
      </c>
      <c r="B529" s="3">
        <v>45946.0</v>
      </c>
      <c r="C529" s="2" t="s">
        <v>1413</v>
      </c>
      <c r="D529" s="2" t="s">
        <v>1414</v>
      </c>
      <c r="E529" s="2">
        <v>28.0</v>
      </c>
      <c r="F529" s="2" t="s">
        <v>29</v>
      </c>
      <c r="G529" s="2" t="s">
        <v>1327</v>
      </c>
      <c r="H529" s="2" t="s">
        <v>31</v>
      </c>
      <c r="I529" s="2" t="s">
        <v>32</v>
      </c>
      <c r="J529" s="2">
        <v>2.0</v>
      </c>
      <c r="K529" s="4">
        <v>31943.19</v>
      </c>
      <c r="L529" s="5">
        <v>63886.38</v>
      </c>
      <c r="N529" s="2" t="str">
        <f>IF(Table1[Quantity] &gt; 2, "Bulk Order", "Standard Order")</f>
        <v>Standard Order</v>
      </c>
    </row>
    <row r="530" ht="15.75" customHeight="1">
      <c r="A530" s="2" t="s">
        <v>1415</v>
      </c>
      <c r="B530" s="3">
        <v>45880.0</v>
      </c>
      <c r="C530" s="2" t="s">
        <v>1416</v>
      </c>
      <c r="D530" s="2" t="s">
        <v>63</v>
      </c>
      <c r="E530" s="2">
        <v>43.0</v>
      </c>
      <c r="F530" s="2" t="s">
        <v>29</v>
      </c>
      <c r="G530" s="2" t="s">
        <v>1327</v>
      </c>
      <c r="H530" s="2" t="s">
        <v>74</v>
      </c>
      <c r="I530" s="2" t="s">
        <v>45</v>
      </c>
      <c r="J530" s="2">
        <v>4.0</v>
      </c>
      <c r="K530" s="4">
        <v>28464.26</v>
      </c>
      <c r="L530" s="5">
        <v>113857.04</v>
      </c>
      <c r="N530" s="2" t="str">
        <f>IF(Table1[Quantity] &gt; 2, "Bulk Order", "Standard Order")</f>
        <v>Bulk Order</v>
      </c>
    </row>
    <row r="531" ht="15.75" customHeight="1">
      <c r="A531" s="2" t="s">
        <v>1417</v>
      </c>
      <c r="B531" s="3">
        <v>45925.0</v>
      </c>
      <c r="C531" s="2" t="s">
        <v>1418</v>
      </c>
      <c r="D531" s="2" t="s">
        <v>319</v>
      </c>
      <c r="E531" s="2">
        <v>29.0</v>
      </c>
      <c r="F531" s="2" t="s">
        <v>29</v>
      </c>
      <c r="G531" s="2" t="s">
        <v>1327</v>
      </c>
      <c r="H531" s="2" t="s">
        <v>56</v>
      </c>
      <c r="I531" s="2" t="s">
        <v>43</v>
      </c>
      <c r="J531" s="2">
        <v>1.0</v>
      </c>
      <c r="K531" s="4">
        <v>6050.27</v>
      </c>
      <c r="L531" s="5">
        <v>6050.27</v>
      </c>
      <c r="N531" s="2" t="str">
        <f>IF(Table1[Quantity] &gt; 2, "Bulk Order", "Standard Order")</f>
        <v>Standard Order</v>
      </c>
    </row>
    <row r="532" ht="15.75" customHeight="1">
      <c r="A532" s="2" t="s">
        <v>1419</v>
      </c>
      <c r="B532" s="3">
        <v>45751.0</v>
      </c>
      <c r="C532" s="2" t="s">
        <v>1420</v>
      </c>
      <c r="D532" s="2" t="s">
        <v>612</v>
      </c>
      <c r="E532" s="2">
        <v>57.0</v>
      </c>
      <c r="F532" s="2" t="s">
        <v>37</v>
      </c>
      <c r="G532" s="2" t="s">
        <v>1327</v>
      </c>
      <c r="H532" s="2" t="s">
        <v>31</v>
      </c>
      <c r="I532" s="2" t="s">
        <v>32</v>
      </c>
      <c r="J532" s="2">
        <v>6.0</v>
      </c>
      <c r="K532" s="4">
        <v>13054.61</v>
      </c>
      <c r="L532" s="5">
        <v>78327.66</v>
      </c>
      <c r="N532" s="2" t="str">
        <f>IF(Table1[Quantity] &gt; 2, "Bulk Order", "Standard Order")</f>
        <v>Bulk Order</v>
      </c>
    </row>
    <row r="533" ht="15.75" customHeight="1">
      <c r="A533" s="2" t="s">
        <v>1421</v>
      </c>
      <c r="B533" s="3">
        <v>45946.0</v>
      </c>
      <c r="C533" s="2" t="s">
        <v>1422</v>
      </c>
      <c r="D533" s="2" t="s">
        <v>330</v>
      </c>
      <c r="E533" s="2">
        <v>35.0</v>
      </c>
      <c r="F533" s="2" t="s">
        <v>37</v>
      </c>
      <c r="G533" s="2" t="s">
        <v>1327</v>
      </c>
      <c r="H533" s="2" t="s">
        <v>64</v>
      </c>
      <c r="I533" s="2" t="s">
        <v>44</v>
      </c>
      <c r="J533" s="2">
        <v>7.0</v>
      </c>
      <c r="K533" s="4">
        <v>34258.83</v>
      </c>
      <c r="L533" s="5">
        <v>239811.81</v>
      </c>
      <c r="N533" s="2" t="str">
        <f>IF(Table1[Quantity] &gt; 2, "Bulk Order", "Standard Order")</f>
        <v>Bulk Order</v>
      </c>
    </row>
    <row r="534" ht="15.75" customHeight="1">
      <c r="A534" s="2" t="s">
        <v>1423</v>
      </c>
      <c r="B534" s="3">
        <v>45825.0</v>
      </c>
      <c r="C534" s="2" t="s">
        <v>1424</v>
      </c>
      <c r="D534" s="2" t="s">
        <v>286</v>
      </c>
      <c r="E534" s="2">
        <v>18.0</v>
      </c>
      <c r="F534" s="2" t="s">
        <v>29</v>
      </c>
      <c r="G534" s="2" t="s">
        <v>1327</v>
      </c>
      <c r="H534" s="2" t="s">
        <v>64</v>
      </c>
      <c r="I534" s="2" t="s">
        <v>44</v>
      </c>
      <c r="J534" s="2">
        <v>1.0</v>
      </c>
      <c r="K534" s="4">
        <v>48695.59</v>
      </c>
      <c r="L534" s="5">
        <v>48695.59</v>
      </c>
      <c r="N534" s="2" t="str">
        <f>IF(Table1[Quantity] &gt; 2, "Bulk Order", "Standard Order")</f>
        <v>Standard Order</v>
      </c>
    </row>
    <row r="535" ht="15.75" customHeight="1">
      <c r="A535" s="2" t="s">
        <v>1425</v>
      </c>
      <c r="B535" s="3">
        <v>45746.0</v>
      </c>
      <c r="C535" s="2" t="s">
        <v>1113</v>
      </c>
      <c r="D535" s="2" t="s">
        <v>735</v>
      </c>
      <c r="E535" s="2">
        <v>20.0</v>
      </c>
      <c r="F535" s="2" t="s">
        <v>37</v>
      </c>
      <c r="G535" s="2" t="s">
        <v>1327</v>
      </c>
      <c r="H535" s="2" t="s">
        <v>60</v>
      </c>
      <c r="I535" s="2" t="s">
        <v>43</v>
      </c>
      <c r="J535" s="2">
        <v>5.0</v>
      </c>
      <c r="K535" s="4">
        <v>24596.56</v>
      </c>
      <c r="L535" s="5">
        <v>122982.8</v>
      </c>
      <c r="N535" s="2" t="str">
        <f>IF(Table1[Quantity] &gt; 2, "Bulk Order", "Standard Order")</f>
        <v>Bulk Order</v>
      </c>
    </row>
    <row r="536" ht="15.75" customHeight="1">
      <c r="A536" s="2" t="s">
        <v>1426</v>
      </c>
      <c r="B536" s="3">
        <v>45849.0</v>
      </c>
      <c r="C536" s="2" t="s">
        <v>1427</v>
      </c>
      <c r="D536" s="2" t="s">
        <v>483</v>
      </c>
      <c r="E536" s="2">
        <v>58.0</v>
      </c>
      <c r="F536" s="2" t="s">
        <v>37</v>
      </c>
      <c r="G536" s="2" t="s">
        <v>1327</v>
      </c>
      <c r="H536" s="2" t="s">
        <v>42</v>
      </c>
      <c r="I536" s="2" t="s">
        <v>41</v>
      </c>
      <c r="J536" s="2">
        <v>4.0</v>
      </c>
      <c r="K536" s="4">
        <v>7231.17</v>
      </c>
      <c r="L536" s="5">
        <v>28924.68</v>
      </c>
      <c r="N536" s="2" t="str">
        <f>IF(Table1[Quantity] &gt; 2, "Bulk Order", "Standard Order")</f>
        <v>Bulk Order</v>
      </c>
    </row>
    <row r="537" ht="15.75" customHeight="1">
      <c r="A537" s="2" t="s">
        <v>1428</v>
      </c>
      <c r="B537" s="3">
        <v>45812.0</v>
      </c>
      <c r="C537" s="2" t="s">
        <v>544</v>
      </c>
      <c r="D537" s="2" t="s">
        <v>294</v>
      </c>
      <c r="E537" s="2">
        <v>29.0</v>
      </c>
      <c r="F537" s="2" t="s">
        <v>29</v>
      </c>
      <c r="G537" s="2" t="s">
        <v>1327</v>
      </c>
      <c r="H537" s="2" t="s">
        <v>56</v>
      </c>
      <c r="I537" s="2" t="s">
        <v>43</v>
      </c>
      <c r="J537" s="2">
        <v>8.0</v>
      </c>
      <c r="K537" s="4">
        <v>28813.93</v>
      </c>
      <c r="L537" s="5">
        <v>230511.44</v>
      </c>
      <c r="N537" s="2" t="str">
        <f>IF(Table1[Quantity] &gt; 2, "Bulk Order", "Standard Order")</f>
        <v>Bulk Order</v>
      </c>
    </row>
    <row r="538" ht="15.75" customHeight="1">
      <c r="A538" s="2" t="s">
        <v>1429</v>
      </c>
      <c r="B538" s="3">
        <v>45788.0</v>
      </c>
      <c r="C538" s="2" t="s">
        <v>1430</v>
      </c>
      <c r="D538" s="2" t="s">
        <v>356</v>
      </c>
      <c r="E538" s="2">
        <v>45.0</v>
      </c>
      <c r="F538" s="2" t="s">
        <v>37</v>
      </c>
      <c r="G538" s="2" t="s">
        <v>1327</v>
      </c>
      <c r="H538" s="2" t="s">
        <v>60</v>
      </c>
      <c r="I538" s="2" t="s">
        <v>43</v>
      </c>
      <c r="J538" s="2">
        <v>2.0</v>
      </c>
      <c r="K538" s="4">
        <v>42427.93</v>
      </c>
      <c r="L538" s="5">
        <v>84855.86</v>
      </c>
      <c r="N538" s="2" t="str">
        <f>IF(Table1[Quantity] &gt; 2, "Bulk Order", "Standard Order")</f>
        <v>Standard Order</v>
      </c>
    </row>
    <row r="539" ht="15.75" customHeight="1">
      <c r="A539" s="2" t="s">
        <v>1431</v>
      </c>
      <c r="B539" s="3">
        <v>45824.0</v>
      </c>
      <c r="C539" s="2" t="s">
        <v>1432</v>
      </c>
      <c r="D539" s="2" t="s">
        <v>1081</v>
      </c>
      <c r="E539" s="2">
        <v>34.0</v>
      </c>
      <c r="F539" s="2" t="s">
        <v>37</v>
      </c>
      <c r="G539" s="2" t="s">
        <v>1327</v>
      </c>
      <c r="H539" s="2" t="s">
        <v>56</v>
      </c>
      <c r="I539" s="2" t="s">
        <v>43</v>
      </c>
      <c r="J539" s="2">
        <v>5.0</v>
      </c>
      <c r="K539" s="4">
        <v>48457.94</v>
      </c>
      <c r="L539" s="5">
        <v>242289.7</v>
      </c>
      <c r="N539" s="2" t="str">
        <f>IF(Table1[Quantity] &gt; 2, "Bulk Order", "Standard Order")</f>
        <v>Bulk Order</v>
      </c>
    </row>
    <row r="540" ht="15.75" customHeight="1">
      <c r="A540" s="2" t="s">
        <v>1433</v>
      </c>
      <c r="B540" s="3">
        <v>45711.0</v>
      </c>
      <c r="C540" s="2" t="s">
        <v>1434</v>
      </c>
      <c r="D540" s="2" t="s">
        <v>1435</v>
      </c>
      <c r="E540" s="2">
        <v>45.0</v>
      </c>
      <c r="F540" s="2" t="s">
        <v>37</v>
      </c>
      <c r="G540" s="2" t="s">
        <v>1327</v>
      </c>
      <c r="H540" s="2" t="s">
        <v>42</v>
      </c>
      <c r="I540" s="2" t="s">
        <v>41</v>
      </c>
      <c r="J540" s="2">
        <v>2.0</v>
      </c>
      <c r="K540" s="4">
        <v>41096.75</v>
      </c>
      <c r="L540" s="5">
        <v>82193.5</v>
      </c>
      <c r="N540" s="2" t="str">
        <f>IF(Table1[Quantity] &gt; 2, "Bulk Order", "Standard Order")</f>
        <v>Standard Order</v>
      </c>
    </row>
    <row r="541" ht="15.75" customHeight="1">
      <c r="A541" s="2" t="s">
        <v>1436</v>
      </c>
      <c r="B541" s="3">
        <v>45738.0</v>
      </c>
      <c r="C541" s="2" t="s">
        <v>1437</v>
      </c>
      <c r="D541" s="2" t="s">
        <v>815</v>
      </c>
      <c r="E541" s="2">
        <v>38.0</v>
      </c>
      <c r="F541" s="2" t="s">
        <v>29</v>
      </c>
      <c r="G541" s="2" t="s">
        <v>1327</v>
      </c>
      <c r="H541" s="2" t="s">
        <v>60</v>
      </c>
      <c r="I541" s="2" t="s">
        <v>43</v>
      </c>
      <c r="J541" s="2">
        <v>1.0</v>
      </c>
      <c r="K541" s="4">
        <v>9009.36</v>
      </c>
      <c r="L541" s="5">
        <v>9009.36</v>
      </c>
      <c r="N541" s="2" t="str">
        <f>IF(Table1[Quantity] &gt; 2, "Bulk Order", "Standard Order")</f>
        <v>Standard Order</v>
      </c>
    </row>
    <row r="542" ht="15.75" customHeight="1">
      <c r="A542" s="2" t="s">
        <v>1438</v>
      </c>
      <c r="B542" s="3">
        <v>45894.0</v>
      </c>
      <c r="C542" s="2" t="s">
        <v>1439</v>
      </c>
      <c r="D542" s="2" t="s">
        <v>425</v>
      </c>
      <c r="E542" s="2">
        <v>30.0</v>
      </c>
      <c r="F542" s="2" t="s">
        <v>37</v>
      </c>
      <c r="G542" s="2" t="s">
        <v>1327</v>
      </c>
      <c r="H542" s="2" t="s">
        <v>42</v>
      </c>
      <c r="I542" s="2" t="s">
        <v>41</v>
      </c>
      <c r="J542" s="2">
        <v>9.0</v>
      </c>
      <c r="K542" s="4">
        <v>21020.37</v>
      </c>
      <c r="L542" s="5">
        <v>189183.33</v>
      </c>
      <c r="N542" s="2" t="str">
        <f>IF(Table1[Quantity] &gt; 2, "Bulk Order", "Standard Order")</f>
        <v>Bulk Order</v>
      </c>
    </row>
    <row r="543" ht="15.75" customHeight="1">
      <c r="A543" s="2" t="s">
        <v>1440</v>
      </c>
      <c r="B543" s="3">
        <v>45804.0</v>
      </c>
      <c r="C543" s="2" t="s">
        <v>1441</v>
      </c>
      <c r="D543" s="2" t="s">
        <v>339</v>
      </c>
      <c r="E543" s="2">
        <v>55.0</v>
      </c>
      <c r="F543" s="2" t="s">
        <v>29</v>
      </c>
      <c r="G543" s="2" t="s">
        <v>1327</v>
      </c>
      <c r="H543" s="2" t="s">
        <v>42</v>
      </c>
      <c r="I543" s="2" t="s">
        <v>41</v>
      </c>
      <c r="J543" s="2">
        <v>6.0</v>
      </c>
      <c r="K543" s="4">
        <v>28483.33</v>
      </c>
      <c r="L543" s="5">
        <v>170899.98</v>
      </c>
      <c r="N543" s="2" t="str">
        <f>IF(Table1[Quantity] &gt; 2, "Bulk Order", "Standard Order")</f>
        <v>Bulk Order</v>
      </c>
    </row>
    <row r="544" ht="15.75" customHeight="1">
      <c r="A544" s="2" t="s">
        <v>1442</v>
      </c>
      <c r="B544" s="3">
        <v>45664.0</v>
      </c>
      <c r="C544" s="2" t="s">
        <v>1443</v>
      </c>
      <c r="D544" s="2" t="s">
        <v>1444</v>
      </c>
      <c r="E544" s="2">
        <v>56.0</v>
      </c>
      <c r="F544" s="2" t="s">
        <v>37</v>
      </c>
      <c r="G544" s="2" t="s">
        <v>1327</v>
      </c>
      <c r="H544" s="2" t="s">
        <v>60</v>
      </c>
      <c r="I544" s="2" t="s">
        <v>43</v>
      </c>
      <c r="J544" s="2">
        <v>2.0</v>
      </c>
      <c r="K544" s="4">
        <v>33800.83</v>
      </c>
      <c r="L544" s="5">
        <v>67601.66</v>
      </c>
      <c r="N544" s="2" t="str">
        <f>IF(Table1[Quantity] &gt; 2, "Bulk Order", "Standard Order")</f>
        <v>Standard Order</v>
      </c>
    </row>
    <row r="545" ht="15.75" customHeight="1">
      <c r="A545" s="2" t="s">
        <v>1445</v>
      </c>
      <c r="B545" s="3">
        <v>45704.0</v>
      </c>
      <c r="C545" s="2" t="s">
        <v>1446</v>
      </c>
      <c r="D545" s="2" t="s">
        <v>1447</v>
      </c>
      <c r="E545" s="2">
        <v>52.0</v>
      </c>
      <c r="F545" s="2" t="s">
        <v>37</v>
      </c>
      <c r="G545" s="2" t="s">
        <v>1327</v>
      </c>
      <c r="H545" s="2" t="s">
        <v>60</v>
      </c>
      <c r="I545" s="2" t="s">
        <v>43</v>
      </c>
      <c r="J545" s="2">
        <v>4.0</v>
      </c>
      <c r="K545" s="4">
        <v>4113.4</v>
      </c>
      <c r="L545" s="5">
        <v>16453.6</v>
      </c>
      <c r="N545" s="2" t="str">
        <f>IF(Table1[Quantity] &gt; 2, "Bulk Order", "Standard Order")</f>
        <v>Bulk Order</v>
      </c>
    </row>
    <row r="546" ht="15.75" customHeight="1">
      <c r="A546" s="2" t="s">
        <v>1448</v>
      </c>
      <c r="B546" s="3">
        <v>45893.0</v>
      </c>
      <c r="C546" s="2" t="s">
        <v>1449</v>
      </c>
      <c r="D546" s="2" t="s">
        <v>1450</v>
      </c>
      <c r="E546" s="2">
        <v>41.0</v>
      </c>
      <c r="F546" s="2" t="s">
        <v>29</v>
      </c>
      <c r="G546" s="2" t="s">
        <v>1327</v>
      </c>
      <c r="H546" s="2" t="s">
        <v>56</v>
      </c>
      <c r="I546" s="2" t="s">
        <v>43</v>
      </c>
      <c r="J546" s="2">
        <v>9.0</v>
      </c>
      <c r="K546" s="4">
        <v>27766.56</v>
      </c>
      <c r="L546" s="5">
        <v>249899.04</v>
      </c>
      <c r="N546" s="2" t="str">
        <f>IF(Table1[Quantity] &gt; 2, "Bulk Order", "Standard Order")</f>
        <v>Bulk Order</v>
      </c>
    </row>
    <row r="547" ht="15.75" customHeight="1">
      <c r="A547" s="2" t="s">
        <v>1451</v>
      </c>
      <c r="B547" s="3">
        <v>45754.0</v>
      </c>
      <c r="C547" s="2" t="s">
        <v>1452</v>
      </c>
      <c r="D547" s="2" t="s">
        <v>1453</v>
      </c>
      <c r="E547" s="2">
        <v>51.0</v>
      </c>
      <c r="F547" s="2" t="s">
        <v>37</v>
      </c>
      <c r="G547" s="2" t="s">
        <v>1327</v>
      </c>
      <c r="H547" s="2" t="s">
        <v>31</v>
      </c>
      <c r="I547" s="2" t="s">
        <v>32</v>
      </c>
      <c r="J547" s="2">
        <v>8.0</v>
      </c>
      <c r="K547" s="4">
        <v>18862.36</v>
      </c>
      <c r="L547" s="5">
        <v>150898.88</v>
      </c>
      <c r="N547" s="2" t="str">
        <f>IF(Table1[Quantity] &gt; 2, "Bulk Order", "Standard Order")</f>
        <v>Bulk Order</v>
      </c>
    </row>
    <row r="548" ht="15.75" customHeight="1">
      <c r="A548" s="2" t="s">
        <v>1454</v>
      </c>
      <c r="B548" s="3">
        <v>45834.0</v>
      </c>
      <c r="C548" s="2" t="s">
        <v>1455</v>
      </c>
      <c r="D548" s="2" t="s">
        <v>240</v>
      </c>
      <c r="F548" s="2" t="s">
        <v>37</v>
      </c>
      <c r="G548" s="2" t="s">
        <v>1327</v>
      </c>
      <c r="H548" s="2" t="s">
        <v>74</v>
      </c>
      <c r="I548" s="2" t="s">
        <v>45</v>
      </c>
      <c r="J548" s="2">
        <v>9.0</v>
      </c>
      <c r="K548" s="4">
        <v>7268.14</v>
      </c>
      <c r="L548" s="5">
        <v>65413.26</v>
      </c>
      <c r="N548" s="2" t="str">
        <f>IF(Table1[Quantity] &gt; 2, "Bulk Order", "Standard Order")</f>
        <v>Bulk Order</v>
      </c>
    </row>
    <row r="549" ht="15.75" customHeight="1">
      <c r="A549" s="2" t="s">
        <v>1456</v>
      </c>
      <c r="B549" s="3">
        <v>45967.0</v>
      </c>
      <c r="C549" s="2" t="s">
        <v>1457</v>
      </c>
      <c r="D549" s="2" t="s">
        <v>1458</v>
      </c>
      <c r="E549" s="2">
        <v>44.0</v>
      </c>
      <c r="F549" s="2" t="s">
        <v>37</v>
      </c>
      <c r="G549" s="2" t="s">
        <v>1327</v>
      </c>
      <c r="H549" s="2" t="s">
        <v>60</v>
      </c>
      <c r="I549" s="2" t="s">
        <v>43</v>
      </c>
      <c r="J549" s="2">
        <v>10.0</v>
      </c>
      <c r="K549" s="4">
        <v>25386.4</v>
      </c>
      <c r="L549" s="5">
        <v>253864.0</v>
      </c>
      <c r="N549" s="2" t="str">
        <f>IF(Table1[Quantity] &gt; 2, "Bulk Order", "Standard Order")</f>
        <v>Bulk Order</v>
      </c>
    </row>
    <row r="550" ht="15.75" customHeight="1">
      <c r="A550" s="2" t="s">
        <v>1459</v>
      </c>
      <c r="B550" s="3">
        <v>45894.0</v>
      </c>
      <c r="C550" s="2" t="s">
        <v>1460</v>
      </c>
      <c r="D550" s="2" t="s">
        <v>1444</v>
      </c>
      <c r="E550" s="2">
        <v>44.0</v>
      </c>
      <c r="F550" s="2" t="s">
        <v>29</v>
      </c>
      <c r="G550" s="2" t="s">
        <v>1327</v>
      </c>
      <c r="H550" s="2" t="s">
        <v>56</v>
      </c>
      <c r="I550" s="2" t="s">
        <v>43</v>
      </c>
      <c r="J550" s="2">
        <v>9.0</v>
      </c>
      <c r="K550" s="4">
        <v>41886.87</v>
      </c>
      <c r="L550" s="5">
        <v>376981.83</v>
      </c>
      <c r="N550" s="2" t="str">
        <f>IF(Table1[Quantity] &gt; 2, "Bulk Order", "Standard Order")</f>
        <v>Bulk Order</v>
      </c>
    </row>
    <row r="551" ht="15.75" customHeight="1">
      <c r="A551" s="2" t="s">
        <v>1461</v>
      </c>
      <c r="B551" s="3">
        <v>46007.0</v>
      </c>
      <c r="C551" s="2" t="s">
        <v>1462</v>
      </c>
      <c r="D551" s="2" t="s">
        <v>1463</v>
      </c>
      <c r="E551" s="2">
        <v>35.0</v>
      </c>
      <c r="F551" s="2" t="s">
        <v>29</v>
      </c>
      <c r="G551" s="2" t="s">
        <v>1327</v>
      </c>
      <c r="H551" s="2" t="s">
        <v>60</v>
      </c>
      <c r="I551" s="2" t="s">
        <v>43</v>
      </c>
      <c r="J551" s="2">
        <v>7.0</v>
      </c>
      <c r="K551" s="4">
        <v>19933.44</v>
      </c>
      <c r="L551" s="5">
        <v>139534.08</v>
      </c>
      <c r="N551" s="2" t="str">
        <f>IF(Table1[Quantity] &gt; 2, "Bulk Order", "Standard Order")</f>
        <v>Bulk Order</v>
      </c>
    </row>
    <row r="552" ht="15.75" customHeight="1">
      <c r="A552" s="2" t="s">
        <v>1464</v>
      </c>
      <c r="B552" s="3">
        <v>45816.0</v>
      </c>
      <c r="C552" s="2" t="s">
        <v>1465</v>
      </c>
      <c r="D552" s="2" t="s">
        <v>1466</v>
      </c>
      <c r="E552" s="2">
        <v>60.0</v>
      </c>
      <c r="F552" s="2" t="s">
        <v>37</v>
      </c>
      <c r="G552" s="2" t="s">
        <v>1327</v>
      </c>
      <c r="H552" s="2" t="s">
        <v>42</v>
      </c>
      <c r="I552" s="2" t="s">
        <v>41</v>
      </c>
      <c r="J552" s="2">
        <v>2.0</v>
      </c>
      <c r="K552" s="4">
        <v>35113.98</v>
      </c>
      <c r="L552" s="5">
        <v>70227.96</v>
      </c>
      <c r="N552" s="2" t="str">
        <f>IF(Table1[Quantity] &gt; 2, "Bulk Order", "Standard Order")</f>
        <v>Standard Order</v>
      </c>
    </row>
    <row r="553" ht="15.75" customHeight="1">
      <c r="A553" s="2" t="s">
        <v>1467</v>
      </c>
      <c r="B553" s="3">
        <v>45952.0</v>
      </c>
      <c r="C553" s="2" t="s">
        <v>1468</v>
      </c>
      <c r="D553" s="2" t="s">
        <v>196</v>
      </c>
      <c r="E553" s="2">
        <v>21.0</v>
      </c>
      <c r="F553" s="2" t="s">
        <v>37</v>
      </c>
      <c r="G553" s="2" t="s">
        <v>1327</v>
      </c>
      <c r="H553" s="2" t="s">
        <v>56</v>
      </c>
      <c r="I553" s="2" t="s">
        <v>43</v>
      </c>
      <c r="J553" s="2">
        <v>10.0</v>
      </c>
      <c r="K553" s="4">
        <v>6613.42</v>
      </c>
      <c r="L553" s="5">
        <v>66134.2</v>
      </c>
      <c r="N553" s="2" t="str">
        <f>IF(Table1[Quantity] &gt; 2, "Bulk Order", "Standard Order")</f>
        <v>Bulk Order</v>
      </c>
    </row>
    <row r="554" ht="15.75" customHeight="1">
      <c r="A554" s="2" t="s">
        <v>1469</v>
      </c>
      <c r="B554" s="3">
        <v>45668.0</v>
      </c>
      <c r="C554" s="2" t="s">
        <v>1470</v>
      </c>
      <c r="D554" s="2" t="s">
        <v>1471</v>
      </c>
      <c r="E554" s="2">
        <v>34.0</v>
      </c>
      <c r="F554" s="2" t="s">
        <v>29</v>
      </c>
      <c r="G554" s="2" t="s">
        <v>1327</v>
      </c>
      <c r="H554" s="2" t="s">
        <v>56</v>
      </c>
      <c r="I554" s="2" t="s">
        <v>43</v>
      </c>
      <c r="J554" s="2">
        <v>5.0</v>
      </c>
      <c r="K554" s="4">
        <v>28280.37</v>
      </c>
      <c r="L554" s="5">
        <v>141401.85</v>
      </c>
      <c r="N554" s="2" t="str">
        <f>IF(Table1[Quantity] &gt; 2, "Bulk Order", "Standard Order")</f>
        <v>Bulk Order</v>
      </c>
    </row>
    <row r="555" ht="15.75" customHeight="1">
      <c r="A555" s="2" t="s">
        <v>1472</v>
      </c>
      <c r="B555" s="3">
        <v>45733.0</v>
      </c>
      <c r="C555" s="2" t="s">
        <v>671</v>
      </c>
      <c r="D555" s="2" t="s">
        <v>63</v>
      </c>
      <c r="E555" s="2">
        <v>21.0</v>
      </c>
      <c r="F555" s="2" t="s">
        <v>29</v>
      </c>
      <c r="G555" s="2" t="s">
        <v>1327</v>
      </c>
      <c r="H555" s="2" t="s">
        <v>74</v>
      </c>
      <c r="I555" s="2" t="s">
        <v>45</v>
      </c>
      <c r="J555" s="2">
        <v>10.0</v>
      </c>
      <c r="K555" s="4">
        <v>43251.3</v>
      </c>
      <c r="L555" s="5">
        <v>432513.0</v>
      </c>
      <c r="N555" s="2" t="str">
        <f>IF(Table1[Quantity] &gt; 2, "Bulk Order", "Standard Order")</f>
        <v>Bulk Order</v>
      </c>
    </row>
    <row r="556" ht="15.75" customHeight="1">
      <c r="A556" s="2" t="s">
        <v>1473</v>
      </c>
      <c r="B556" s="3">
        <v>45793.0</v>
      </c>
      <c r="C556" s="2" t="s">
        <v>1474</v>
      </c>
      <c r="D556" s="2" t="s">
        <v>1463</v>
      </c>
      <c r="E556" s="2">
        <v>39.0</v>
      </c>
      <c r="F556" s="2" t="s">
        <v>29</v>
      </c>
      <c r="G556" s="2" t="s">
        <v>1327</v>
      </c>
      <c r="H556" s="2" t="s">
        <v>60</v>
      </c>
      <c r="I556" s="2" t="s">
        <v>43</v>
      </c>
      <c r="J556" s="2">
        <v>6.0</v>
      </c>
      <c r="K556" s="4">
        <v>49058.94</v>
      </c>
      <c r="L556" s="5">
        <v>294353.64</v>
      </c>
      <c r="N556" s="2" t="str">
        <f>IF(Table1[Quantity] &gt; 2, "Bulk Order", "Standard Order")</f>
        <v>Bulk Order</v>
      </c>
    </row>
    <row r="557" ht="15.75" customHeight="1">
      <c r="A557" s="2" t="s">
        <v>1475</v>
      </c>
      <c r="B557" s="3">
        <v>45845.0</v>
      </c>
      <c r="C557" s="2" t="s">
        <v>1476</v>
      </c>
      <c r="D557" s="2" t="s">
        <v>510</v>
      </c>
      <c r="E557" s="2">
        <v>49.0</v>
      </c>
      <c r="F557" s="2" t="s">
        <v>29</v>
      </c>
      <c r="G557" s="2" t="s">
        <v>1327</v>
      </c>
      <c r="H557" s="2" t="s">
        <v>64</v>
      </c>
      <c r="I557" s="2" t="s">
        <v>44</v>
      </c>
      <c r="J557" s="2">
        <v>8.0</v>
      </c>
      <c r="K557" s="4">
        <v>44971.9</v>
      </c>
      <c r="L557" s="5">
        <v>359775.2</v>
      </c>
      <c r="N557" s="2" t="str">
        <f>IF(Table1[Quantity] &gt; 2, "Bulk Order", "Standard Order")</f>
        <v>Bulk Order</v>
      </c>
    </row>
    <row r="558" ht="15.75" customHeight="1">
      <c r="A558" s="2" t="s">
        <v>1477</v>
      </c>
      <c r="B558" s="3">
        <v>45904.0</v>
      </c>
      <c r="C558" s="2" t="s">
        <v>1478</v>
      </c>
      <c r="D558" s="2" t="s">
        <v>1479</v>
      </c>
      <c r="E558" s="2">
        <v>25.0</v>
      </c>
      <c r="F558" s="2" t="s">
        <v>29</v>
      </c>
      <c r="G558" s="2" t="s">
        <v>1327</v>
      </c>
      <c r="H558" s="2" t="s">
        <v>60</v>
      </c>
      <c r="I558" s="2" t="s">
        <v>43</v>
      </c>
      <c r="J558" s="2">
        <v>2.0</v>
      </c>
      <c r="K558" s="4">
        <v>20074.3</v>
      </c>
      <c r="L558" s="5">
        <v>40148.6</v>
      </c>
      <c r="N558" s="2" t="str">
        <f>IF(Table1[Quantity] &gt; 2, "Bulk Order", "Standard Order")</f>
        <v>Standard Order</v>
      </c>
    </row>
    <row r="559" ht="15.75" customHeight="1">
      <c r="A559" s="2" t="s">
        <v>1480</v>
      </c>
      <c r="B559" s="3">
        <v>45658.0</v>
      </c>
      <c r="C559" s="2" t="s">
        <v>1481</v>
      </c>
      <c r="D559" s="2" t="s">
        <v>638</v>
      </c>
      <c r="E559" s="2">
        <v>43.0</v>
      </c>
      <c r="F559" s="2" t="s">
        <v>29</v>
      </c>
      <c r="G559" s="2" t="s">
        <v>1327</v>
      </c>
      <c r="H559" s="2" t="s">
        <v>60</v>
      </c>
      <c r="I559" s="2" t="s">
        <v>43</v>
      </c>
      <c r="J559" s="2">
        <v>2.0</v>
      </c>
      <c r="K559" s="4">
        <v>11893.8</v>
      </c>
      <c r="L559" s="5">
        <v>23787.6</v>
      </c>
      <c r="N559" s="2" t="str">
        <f>IF(Table1[Quantity] &gt; 2, "Bulk Order", "Standard Order")</f>
        <v>Standard Order</v>
      </c>
    </row>
    <row r="560" ht="15.75" customHeight="1">
      <c r="A560" s="2" t="s">
        <v>1482</v>
      </c>
      <c r="B560" s="3">
        <v>45744.0</v>
      </c>
      <c r="C560" s="2" t="s">
        <v>1483</v>
      </c>
      <c r="D560" s="2" t="s">
        <v>163</v>
      </c>
      <c r="E560" s="2">
        <v>21.0</v>
      </c>
      <c r="F560" s="2" t="s">
        <v>29</v>
      </c>
      <c r="G560" s="2" t="s">
        <v>1327</v>
      </c>
      <c r="H560" s="2" t="s">
        <v>56</v>
      </c>
      <c r="I560" s="2" t="s">
        <v>43</v>
      </c>
      <c r="J560" s="2">
        <v>8.0</v>
      </c>
      <c r="K560" s="4">
        <v>3595.82</v>
      </c>
      <c r="L560" s="5">
        <v>28766.56</v>
      </c>
      <c r="N560" s="2" t="str">
        <f>IF(Table1[Quantity] &gt; 2, "Bulk Order", "Standard Order")</f>
        <v>Bulk Order</v>
      </c>
    </row>
    <row r="561" ht="15.75" customHeight="1">
      <c r="A561" s="2" t="s">
        <v>1484</v>
      </c>
      <c r="B561" s="3">
        <v>45749.0</v>
      </c>
      <c r="C561" s="2" t="s">
        <v>1485</v>
      </c>
      <c r="D561" s="2" t="s">
        <v>283</v>
      </c>
      <c r="E561" s="2">
        <v>61.0</v>
      </c>
      <c r="F561" s="2" t="s">
        <v>29</v>
      </c>
      <c r="G561" s="2" t="s">
        <v>1327</v>
      </c>
      <c r="H561" s="2" t="s">
        <v>64</v>
      </c>
      <c r="I561" s="2" t="s">
        <v>44</v>
      </c>
      <c r="J561" s="2">
        <v>5.0</v>
      </c>
      <c r="K561" s="4">
        <v>30620.75</v>
      </c>
      <c r="L561" s="5">
        <v>153103.75</v>
      </c>
      <c r="N561" s="2" t="str">
        <f>IF(Table1[Quantity] &gt; 2, "Bulk Order", "Standard Order")</f>
        <v>Bulk Order</v>
      </c>
    </row>
    <row r="562" ht="15.75" customHeight="1">
      <c r="A562" s="2" t="s">
        <v>1486</v>
      </c>
      <c r="B562" s="3">
        <v>45708.0</v>
      </c>
      <c r="C562" s="2" t="s">
        <v>1487</v>
      </c>
      <c r="D562" s="2" t="s">
        <v>381</v>
      </c>
      <c r="E562" s="2">
        <v>56.0</v>
      </c>
      <c r="F562" s="2" t="s">
        <v>29</v>
      </c>
      <c r="G562" s="2" t="s">
        <v>1327</v>
      </c>
      <c r="H562" s="2" t="s">
        <v>74</v>
      </c>
      <c r="I562" s="2" t="s">
        <v>45</v>
      </c>
      <c r="J562" s="2">
        <v>2.0</v>
      </c>
      <c r="K562" s="4">
        <v>14770.13</v>
      </c>
      <c r="L562" s="5">
        <v>29540.26</v>
      </c>
      <c r="N562" s="2" t="str">
        <f>IF(Table1[Quantity] &gt; 2, "Bulk Order", "Standard Order")</f>
        <v>Standard Order</v>
      </c>
    </row>
    <row r="563" ht="15.75" customHeight="1">
      <c r="A563" s="2" t="s">
        <v>1488</v>
      </c>
      <c r="B563" s="3">
        <v>45984.0</v>
      </c>
      <c r="C563" s="2" t="s">
        <v>1489</v>
      </c>
      <c r="D563" s="2" t="s">
        <v>800</v>
      </c>
      <c r="E563" s="2">
        <v>48.0</v>
      </c>
      <c r="F563" s="2" t="s">
        <v>37</v>
      </c>
      <c r="G563" s="2" t="s">
        <v>1327</v>
      </c>
      <c r="H563" s="2" t="s">
        <v>60</v>
      </c>
      <c r="I563" s="2" t="s">
        <v>43</v>
      </c>
      <c r="J563" s="2">
        <v>5.0</v>
      </c>
      <c r="K563" s="4">
        <v>3414.17</v>
      </c>
      <c r="L563" s="5">
        <v>17070.85</v>
      </c>
      <c r="N563" s="2" t="str">
        <f>IF(Table1[Quantity] &gt; 2, "Bulk Order", "Standard Order")</f>
        <v>Bulk Order</v>
      </c>
    </row>
    <row r="564" ht="15.75" customHeight="1">
      <c r="A564" s="2" t="s">
        <v>1490</v>
      </c>
      <c r="B564" s="3">
        <v>45756.0</v>
      </c>
      <c r="C564" s="2" t="s">
        <v>1491</v>
      </c>
      <c r="D564" s="2" t="s">
        <v>1492</v>
      </c>
      <c r="E564" s="2">
        <v>39.0</v>
      </c>
      <c r="F564" s="2" t="s">
        <v>29</v>
      </c>
      <c r="G564" s="2" t="s">
        <v>1327</v>
      </c>
      <c r="H564" s="2" t="s">
        <v>56</v>
      </c>
      <c r="I564" s="2" t="s">
        <v>43</v>
      </c>
      <c r="J564" s="2">
        <v>3.0</v>
      </c>
      <c r="K564" s="4">
        <v>15846.45</v>
      </c>
      <c r="L564" s="5">
        <v>47539.35</v>
      </c>
      <c r="N564" s="2" t="str">
        <f>IF(Table1[Quantity] &gt; 2, "Bulk Order", "Standard Order")</f>
        <v>Bulk Order</v>
      </c>
    </row>
    <row r="565" ht="15.75" customHeight="1">
      <c r="A565" s="2" t="s">
        <v>1493</v>
      </c>
      <c r="B565" s="3">
        <v>45812.0</v>
      </c>
      <c r="C565" s="2" t="s">
        <v>1494</v>
      </c>
      <c r="D565" s="2" t="s">
        <v>702</v>
      </c>
      <c r="E565" s="2">
        <v>41.0</v>
      </c>
      <c r="F565" s="2" t="s">
        <v>29</v>
      </c>
      <c r="G565" s="2" t="s">
        <v>1327</v>
      </c>
      <c r="H565" s="2" t="s">
        <v>42</v>
      </c>
      <c r="I565" s="2" t="s">
        <v>41</v>
      </c>
      <c r="J565" s="2">
        <v>9.0</v>
      </c>
      <c r="K565" s="4">
        <v>14044.67</v>
      </c>
      <c r="L565" s="5">
        <v>126402.03</v>
      </c>
      <c r="N565" s="2" t="str">
        <f>IF(Table1[Quantity] &gt; 2, "Bulk Order", "Standard Order")</f>
        <v>Bulk Order</v>
      </c>
    </row>
    <row r="566" ht="15.75" customHeight="1">
      <c r="A566" s="2" t="s">
        <v>1495</v>
      </c>
      <c r="B566" s="3">
        <v>46008.0</v>
      </c>
      <c r="C566" s="2" t="s">
        <v>1496</v>
      </c>
      <c r="D566" s="2" t="s">
        <v>724</v>
      </c>
      <c r="E566" s="2">
        <v>41.0</v>
      </c>
      <c r="F566" s="2" t="s">
        <v>37</v>
      </c>
      <c r="G566" s="2" t="s">
        <v>1327</v>
      </c>
      <c r="H566" s="2" t="s">
        <v>31</v>
      </c>
      <c r="I566" s="2" t="s">
        <v>32</v>
      </c>
      <c r="J566" s="2">
        <v>2.0</v>
      </c>
      <c r="K566" s="4">
        <v>14181.47</v>
      </c>
      <c r="L566" s="5">
        <v>28362.94</v>
      </c>
      <c r="N566" s="2" t="str">
        <f>IF(Table1[Quantity] &gt; 2, "Bulk Order", "Standard Order")</f>
        <v>Standard Order</v>
      </c>
    </row>
    <row r="567" ht="15.75" customHeight="1">
      <c r="A567" s="2" t="s">
        <v>1497</v>
      </c>
      <c r="B567" s="3">
        <v>45941.0</v>
      </c>
      <c r="C567" s="2" t="s">
        <v>1498</v>
      </c>
      <c r="D567" s="2" t="s">
        <v>1406</v>
      </c>
      <c r="E567" s="2">
        <v>47.0</v>
      </c>
      <c r="F567" s="2" t="s">
        <v>29</v>
      </c>
      <c r="G567" s="2" t="s">
        <v>1327</v>
      </c>
      <c r="H567" s="2" t="s">
        <v>64</v>
      </c>
      <c r="I567" s="2" t="s">
        <v>44</v>
      </c>
      <c r="J567" s="2">
        <v>4.0</v>
      </c>
      <c r="K567" s="4">
        <v>28783.13</v>
      </c>
      <c r="L567" s="5">
        <v>115132.52</v>
      </c>
      <c r="N567" s="2" t="str">
        <f>IF(Table1[Quantity] &gt; 2, "Bulk Order", "Standard Order")</f>
        <v>Bulk Order</v>
      </c>
    </row>
    <row r="568" ht="15.75" customHeight="1">
      <c r="A568" s="2" t="s">
        <v>1499</v>
      </c>
      <c r="B568" s="3">
        <v>45787.0</v>
      </c>
      <c r="C568" s="2" t="s">
        <v>1500</v>
      </c>
      <c r="D568" s="2" t="s">
        <v>1159</v>
      </c>
      <c r="E568" s="2">
        <v>18.0</v>
      </c>
      <c r="F568" s="2" t="s">
        <v>37</v>
      </c>
      <c r="G568" s="2" t="s">
        <v>1327</v>
      </c>
      <c r="H568" s="2" t="s">
        <v>64</v>
      </c>
      <c r="I568" s="2" t="s">
        <v>44</v>
      </c>
      <c r="J568" s="2">
        <v>4.0</v>
      </c>
      <c r="K568" s="4">
        <v>24291.82</v>
      </c>
      <c r="L568" s="5">
        <v>97167.28</v>
      </c>
      <c r="N568" s="2" t="str">
        <f>IF(Table1[Quantity] &gt; 2, "Bulk Order", "Standard Order")</f>
        <v>Bulk Order</v>
      </c>
    </row>
    <row r="569" ht="15.75" customHeight="1">
      <c r="A569" s="2" t="s">
        <v>1501</v>
      </c>
      <c r="B569" s="3">
        <v>45918.0</v>
      </c>
      <c r="C569" s="2" t="s">
        <v>1502</v>
      </c>
      <c r="D569" s="2" t="s">
        <v>243</v>
      </c>
      <c r="E569" s="2">
        <v>30.0</v>
      </c>
      <c r="F569" s="2" t="s">
        <v>37</v>
      </c>
      <c r="G569" s="2" t="s">
        <v>1327</v>
      </c>
      <c r="H569" s="2" t="s">
        <v>74</v>
      </c>
      <c r="I569" s="2" t="s">
        <v>45</v>
      </c>
      <c r="J569" s="2">
        <v>3.0</v>
      </c>
      <c r="K569" s="4">
        <v>23490.33</v>
      </c>
      <c r="L569" s="5">
        <v>70470.99</v>
      </c>
      <c r="N569" s="2" t="str">
        <f>IF(Table1[Quantity] &gt; 2, "Bulk Order", "Standard Order")</f>
        <v>Bulk Order</v>
      </c>
    </row>
    <row r="570" ht="15.75" customHeight="1">
      <c r="A570" s="2" t="s">
        <v>1503</v>
      </c>
      <c r="B570" s="3">
        <v>45688.0</v>
      </c>
      <c r="C570" s="2" t="s">
        <v>1504</v>
      </c>
      <c r="D570" s="2" t="s">
        <v>708</v>
      </c>
      <c r="E570" s="2">
        <v>59.0</v>
      </c>
      <c r="F570" s="2" t="s">
        <v>37</v>
      </c>
      <c r="G570" s="2" t="s">
        <v>1327</v>
      </c>
      <c r="H570" s="2" t="s">
        <v>60</v>
      </c>
      <c r="I570" s="2" t="s">
        <v>43</v>
      </c>
      <c r="J570" s="2">
        <v>7.0</v>
      </c>
      <c r="K570" s="4">
        <v>27547.81</v>
      </c>
      <c r="L570" s="5">
        <v>192834.67</v>
      </c>
      <c r="N570" s="2" t="str">
        <f>IF(Table1[Quantity] &gt; 2, "Bulk Order", "Standard Order")</f>
        <v>Bulk Order</v>
      </c>
    </row>
    <row r="571" ht="15.75" customHeight="1">
      <c r="A571" s="2" t="s">
        <v>1505</v>
      </c>
      <c r="B571" s="3">
        <v>45768.0</v>
      </c>
      <c r="C571" s="2" t="s">
        <v>1506</v>
      </c>
      <c r="D571" s="2" t="s">
        <v>967</v>
      </c>
      <c r="E571" s="2">
        <v>21.0</v>
      </c>
      <c r="F571" s="2" t="s">
        <v>37</v>
      </c>
      <c r="G571" s="2" t="s">
        <v>1327</v>
      </c>
      <c r="H571" s="2" t="s">
        <v>31</v>
      </c>
      <c r="I571" s="2" t="s">
        <v>32</v>
      </c>
      <c r="J571" s="2">
        <v>6.0</v>
      </c>
      <c r="K571" s="4">
        <v>35222.23</v>
      </c>
      <c r="L571" s="5">
        <v>211333.38</v>
      </c>
      <c r="N571" s="2" t="str">
        <f>IF(Table1[Quantity] &gt; 2, "Bulk Order", "Standard Order")</f>
        <v>Bulk Order</v>
      </c>
    </row>
    <row r="572" ht="15.75" customHeight="1">
      <c r="A572" s="2" t="s">
        <v>1507</v>
      </c>
      <c r="B572" s="3">
        <v>46006.0</v>
      </c>
      <c r="C572" s="2" t="s">
        <v>1508</v>
      </c>
      <c r="D572" s="2" t="s">
        <v>762</v>
      </c>
      <c r="E572" s="2">
        <v>48.0</v>
      </c>
      <c r="F572" s="2" t="s">
        <v>29</v>
      </c>
      <c r="G572" s="2" t="s">
        <v>1327</v>
      </c>
      <c r="H572" s="2" t="s">
        <v>31</v>
      </c>
      <c r="I572" s="2" t="s">
        <v>32</v>
      </c>
      <c r="J572" s="2">
        <v>7.0</v>
      </c>
      <c r="K572" s="4">
        <v>38583.88</v>
      </c>
      <c r="L572" s="5">
        <v>270087.16</v>
      </c>
      <c r="N572" s="2" t="str">
        <f>IF(Table1[Quantity] &gt; 2, "Bulk Order", "Standard Order")</f>
        <v>Bulk Order</v>
      </c>
    </row>
    <row r="573" ht="15.75" customHeight="1">
      <c r="A573" s="2" t="s">
        <v>1509</v>
      </c>
      <c r="B573" s="3">
        <v>45673.0</v>
      </c>
      <c r="C573" s="2" t="s">
        <v>1510</v>
      </c>
      <c r="D573" s="2" t="s">
        <v>280</v>
      </c>
      <c r="E573" s="2">
        <v>55.0</v>
      </c>
      <c r="F573" s="2" t="s">
        <v>37</v>
      </c>
      <c r="G573" s="2" t="s">
        <v>1327</v>
      </c>
      <c r="H573" s="2" t="s">
        <v>56</v>
      </c>
      <c r="I573" s="2" t="s">
        <v>43</v>
      </c>
      <c r="J573" s="2">
        <v>1.0</v>
      </c>
      <c r="K573" s="4">
        <v>17212.99</v>
      </c>
      <c r="L573" s="5">
        <v>17212.99</v>
      </c>
      <c r="N573" s="2" t="str">
        <f>IF(Table1[Quantity] &gt; 2, "Bulk Order", "Standard Order")</f>
        <v>Standard Order</v>
      </c>
    </row>
    <row r="574" ht="15.75" customHeight="1">
      <c r="A574" s="2" t="s">
        <v>1511</v>
      </c>
      <c r="B574" s="3">
        <v>45974.0</v>
      </c>
      <c r="C574" s="2" t="s">
        <v>1512</v>
      </c>
      <c r="D574" s="2" t="s">
        <v>868</v>
      </c>
      <c r="E574" s="2">
        <v>56.0</v>
      </c>
      <c r="F574" s="2" t="s">
        <v>29</v>
      </c>
      <c r="G574" s="2" t="s">
        <v>1327</v>
      </c>
      <c r="H574" s="2" t="s">
        <v>42</v>
      </c>
      <c r="I574" s="2" t="s">
        <v>41</v>
      </c>
      <c r="J574" s="2">
        <v>3.0</v>
      </c>
      <c r="K574" s="4">
        <v>48276.39</v>
      </c>
      <c r="L574" s="5">
        <v>144829.17</v>
      </c>
      <c r="N574" s="2" t="str">
        <f>IF(Table1[Quantity] &gt; 2, "Bulk Order", "Standard Order")</f>
        <v>Bulk Order</v>
      </c>
    </row>
    <row r="575" ht="15.75" customHeight="1">
      <c r="A575" s="2" t="s">
        <v>1513</v>
      </c>
      <c r="B575" s="3">
        <v>45695.0</v>
      </c>
      <c r="C575" s="2" t="s">
        <v>1514</v>
      </c>
      <c r="D575" s="2" t="s">
        <v>1515</v>
      </c>
      <c r="E575" s="2">
        <v>59.0</v>
      </c>
      <c r="F575" s="2" t="s">
        <v>29</v>
      </c>
      <c r="G575" s="2" t="s">
        <v>1327</v>
      </c>
      <c r="H575" s="2" t="s">
        <v>31</v>
      </c>
      <c r="I575" s="2" t="s">
        <v>32</v>
      </c>
      <c r="J575" s="2">
        <v>9.0</v>
      </c>
      <c r="K575" s="4">
        <v>40069.01</v>
      </c>
      <c r="L575" s="5">
        <v>360621.09</v>
      </c>
      <c r="N575" s="2" t="str">
        <f>IF(Table1[Quantity] &gt; 2, "Bulk Order", "Standard Order")</f>
        <v>Bulk Order</v>
      </c>
    </row>
    <row r="576" ht="15.75" customHeight="1">
      <c r="A576" s="2" t="s">
        <v>1516</v>
      </c>
      <c r="B576" s="3">
        <v>45872.0</v>
      </c>
      <c r="C576" s="2" t="s">
        <v>1517</v>
      </c>
      <c r="D576" s="2" t="s">
        <v>1189</v>
      </c>
      <c r="E576" s="2">
        <v>22.0</v>
      </c>
      <c r="F576" s="2" t="s">
        <v>37</v>
      </c>
      <c r="G576" s="2" t="s">
        <v>1327</v>
      </c>
      <c r="H576" s="2" t="s">
        <v>56</v>
      </c>
      <c r="I576" s="2" t="s">
        <v>43</v>
      </c>
      <c r="J576" s="2">
        <v>9.0</v>
      </c>
      <c r="K576" s="4">
        <v>31937.15</v>
      </c>
      <c r="L576" s="5">
        <v>287434.35</v>
      </c>
      <c r="N576" s="2" t="str">
        <f>IF(Table1[Quantity] &gt; 2, "Bulk Order", "Standard Order")</f>
        <v>Bulk Order</v>
      </c>
    </row>
    <row r="577" ht="15.75" customHeight="1">
      <c r="A577" s="2" t="s">
        <v>1518</v>
      </c>
      <c r="B577" s="3">
        <v>46000.0</v>
      </c>
      <c r="C577" s="2" t="s">
        <v>1519</v>
      </c>
      <c r="D577" s="2" t="s">
        <v>510</v>
      </c>
      <c r="E577" s="2">
        <v>30.0</v>
      </c>
      <c r="F577" s="2" t="s">
        <v>37</v>
      </c>
      <c r="G577" s="2" t="s">
        <v>1327</v>
      </c>
      <c r="H577" s="2" t="s">
        <v>42</v>
      </c>
      <c r="I577" s="2" t="s">
        <v>41</v>
      </c>
      <c r="J577" s="2">
        <v>10.0</v>
      </c>
      <c r="K577" s="4">
        <v>45877.49</v>
      </c>
      <c r="L577" s="5">
        <v>458774.9</v>
      </c>
      <c r="N577" s="2" t="str">
        <f>IF(Table1[Quantity] &gt; 2, "Bulk Order", "Standard Order")</f>
        <v>Bulk Order</v>
      </c>
    </row>
    <row r="578" ht="15.75" customHeight="1">
      <c r="A578" s="2" t="s">
        <v>1520</v>
      </c>
      <c r="B578" s="3">
        <v>45869.0</v>
      </c>
      <c r="C578" s="2" t="s">
        <v>1521</v>
      </c>
      <c r="D578" s="2" t="s">
        <v>954</v>
      </c>
      <c r="E578" s="2">
        <v>30.0</v>
      </c>
      <c r="F578" s="2" t="s">
        <v>29</v>
      </c>
      <c r="G578" s="2" t="s">
        <v>1327</v>
      </c>
      <c r="H578" s="2" t="s">
        <v>42</v>
      </c>
      <c r="I578" s="2" t="s">
        <v>41</v>
      </c>
      <c r="J578" s="2">
        <v>9.0</v>
      </c>
      <c r="K578" s="4">
        <v>28222.97</v>
      </c>
      <c r="L578" s="5">
        <v>254006.73</v>
      </c>
      <c r="N578" s="2" t="str">
        <f>IF(Table1[Quantity] &gt; 2, "Bulk Order", "Standard Order")</f>
        <v>Bulk Order</v>
      </c>
    </row>
    <row r="579" ht="15.75" customHeight="1">
      <c r="A579" s="2" t="s">
        <v>1522</v>
      </c>
      <c r="B579" s="3">
        <v>45936.0</v>
      </c>
      <c r="C579" s="2" t="s">
        <v>1523</v>
      </c>
      <c r="D579" s="2" t="s">
        <v>988</v>
      </c>
      <c r="E579" s="2">
        <v>21.0</v>
      </c>
      <c r="F579" s="2" t="s">
        <v>37</v>
      </c>
      <c r="G579" s="2" t="s">
        <v>1327</v>
      </c>
      <c r="H579" s="2" t="s">
        <v>60</v>
      </c>
      <c r="I579" s="2" t="s">
        <v>43</v>
      </c>
      <c r="J579" s="2">
        <v>2.0</v>
      </c>
      <c r="K579" s="4">
        <v>37278.21</v>
      </c>
      <c r="L579" s="5">
        <v>74556.42</v>
      </c>
      <c r="N579" s="2" t="str">
        <f>IF(Table1[Quantity] &gt; 2, "Bulk Order", "Standard Order")</f>
        <v>Standard Order</v>
      </c>
    </row>
    <row r="580" ht="15.75" customHeight="1">
      <c r="A580" s="2" t="s">
        <v>1524</v>
      </c>
      <c r="B580" s="3">
        <v>45782.0</v>
      </c>
      <c r="C580" s="2" t="s">
        <v>1525</v>
      </c>
      <c r="D580" s="2" t="s">
        <v>55</v>
      </c>
      <c r="E580" s="2">
        <v>30.0</v>
      </c>
      <c r="F580" s="2" t="s">
        <v>37</v>
      </c>
      <c r="G580" s="2" t="s">
        <v>1327</v>
      </c>
      <c r="H580" s="2" t="s">
        <v>56</v>
      </c>
      <c r="I580" s="2" t="s">
        <v>43</v>
      </c>
      <c r="J580" s="2">
        <v>10.0</v>
      </c>
      <c r="K580" s="4">
        <v>47079.86</v>
      </c>
      <c r="L580" s="5">
        <v>470798.6</v>
      </c>
      <c r="N580" s="2" t="str">
        <f>IF(Table1[Quantity] &gt; 2, "Bulk Order", "Standard Order")</f>
        <v>Bulk Order</v>
      </c>
    </row>
    <row r="581" ht="15.75" customHeight="1">
      <c r="A581" s="2" t="s">
        <v>1526</v>
      </c>
      <c r="B581" s="3">
        <v>45663.0</v>
      </c>
      <c r="C581" s="2" t="s">
        <v>1527</v>
      </c>
      <c r="D581" s="2" t="s">
        <v>364</v>
      </c>
      <c r="E581" s="2">
        <v>23.0</v>
      </c>
      <c r="F581" s="2" t="s">
        <v>29</v>
      </c>
      <c r="G581" s="2" t="s">
        <v>1327</v>
      </c>
      <c r="H581" s="2" t="s">
        <v>42</v>
      </c>
      <c r="I581" s="2" t="s">
        <v>41</v>
      </c>
      <c r="J581" s="2">
        <v>2.0</v>
      </c>
      <c r="K581" s="4">
        <v>30201.81</v>
      </c>
      <c r="L581" s="5">
        <v>60403.62</v>
      </c>
      <c r="N581" s="2" t="str">
        <f>IF(Table1[Quantity] &gt; 2, "Bulk Order", "Standard Order")</f>
        <v>Standard Order</v>
      </c>
    </row>
    <row r="582" ht="15.75" customHeight="1">
      <c r="A582" s="2" t="s">
        <v>1528</v>
      </c>
      <c r="B582" s="3">
        <v>45940.0</v>
      </c>
      <c r="C582" s="2" t="s">
        <v>1529</v>
      </c>
      <c r="D582" s="2" t="s">
        <v>193</v>
      </c>
      <c r="E582" s="2">
        <v>37.0</v>
      </c>
      <c r="F582" s="2" t="s">
        <v>29</v>
      </c>
      <c r="G582" s="2" t="s">
        <v>1327</v>
      </c>
      <c r="H582" s="2" t="s">
        <v>60</v>
      </c>
      <c r="I582" s="2" t="s">
        <v>43</v>
      </c>
      <c r="J582" s="2">
        <v>7.0</v>
      </c>
      <c r="K582" s="4">
        <v>40635.52</v>
      </c>
      <c r="L582" s="5">
        <v>284448.64</v>
      </c>
      <c r="N582" s="2" t="str">
        <f>IF(Table1[Quantity] &gt; 2, "Bulk Order", "Standard Order")</f>
        <v>Bulk Order</v>
      </c>
    </row>
    <row r="583" ht="15.75" customHeight="1">
      <c r="A583" s="2" t="s">
        <v>1530</v>
      </c>
      <c r="B583" s="3">
        <v>45929.0</v>
      </c>
      <c r="C583" s="2" t="s">
        <v>1531</v>
      </c>
      <c r="D583" s="2" t="s">
        <v>336</v>
      </c>
      <c r="E583" s="2">
        <v>27.0</v>
      </c>
      <c r="F583" s="2" t="s">
        <v>29</v>
      </c>
      <c r="G583" s="2" t="s">
        <v>1327</v>
      </c>
      <c r="H583" s="2" t="s">
        <v>74</v>
      </c>
      <c r="I583" s="2" t="s">
        <v>45</v>
      </c>
      <c r="J583" s="2">
        <v>5.0</v>
      </c>
      <c r="K583" s="4">
        <v>24409.5</v>
      </c>
      <c r="L583" s="5">
        <v>122047.5</v>
      </c>
      <c r="N583" s="2" t="str">
        <f>IF(Table1[Quantity] &gt; 2, "Bulk Order", "Standard Order")</f>
        <v>Bulk Order</v>
      </c>
    </row>
    <row r="584" ht="15.75" customHeight="1">
      <c r="A584" s="2" t="s">
        <v>1532</v>
      </c>
      <c r="B584" s="3">
        <v>45868.0</v>
      </c>
      <c r="C584" s="2" t="s">
        <v>1533</v>
      </c>
      <c r="D584" s="2" t="s">
        <v>834</v>
      </c>
      <c r="E584" s="2">
        <v>58.0</v>
      </c>
      <c r="F584" s="2" t="s">
        <v>29</v>
      </c>
      <c r="G584" s="2" t="s">
        <v>1327</v>
      </c>
      <c r="H584" s="2" t="s">
        <v>42</v>
      </c>
      <c r="I584" s="2" t="s">
        <v>41</v>
      </c>
      <c r="J584" s="2">
        <v>3.0</v>
      </c>
      <c r="K584" s="4">
        <v>40119.65</v>
      </c>
      <c r="L584" s="5">
        <v>120358.95</v>
      </c>
      <c r="N584" s="2" t="str">
        <f>IF(Table1[Quantity] &gt; 2, "Bulk Order", "Standard Order")</f>
        <v>Bulk Order</v>
      </c>
    </row>
    <row r="585" ht="15.75" customHeight="1">
      <c r="A585" s="2" t="s">
        <v>1534</v>
      </c>
      <c r="B585" s="3">
        <v>45662.0</v>
      </c>
      <c r="C585" s="2" t="s">
        <v>1535</v>
      </c>
      <c r="D585" s="2" t="s">
        <v>439</v>
      </c>
      <c r="E585" s="2">
        <v>44.0</v>
      </c>
      <c r="F585" s="2" t="s">
        <v>29</v>
      </c>
      <c r="G585" s="2" t="s">
        <v>1327</v>
      </c>
      <c r="H585" s="2" t="s">
        <v>74</v>
      </c>
      <c r="I585" s="2" t="s">
        <v>45</v>
      </c>
      <c r="J585" s="2">
        <v>5.0</v>
      </c>
      <c r="K585" s="4">
        <v>33187.56</v>
      </c>
      <c r="L585" s="5">
        <v>165937.8</v>
      </c>
      <c r="N585" s="2" t="str">
        <f>IF(Table1[Quantity] &gt; 2, "Bulk Order", "Standard Order")</f>
        <v>Bulk Order</v>
      </c>
    </row>
    <row r="586" ht="15.75" customHeight="1">
      <c r="A586" s="2" t="s">
        <v>1536</v>
      </c>
      <c r="B586" s="3">
        <v>45715.0</v>
      </c>
      <c r="C586" s="2" t="s">
        <v>1537</v>
      </c>
      <c r="D586" s="2" t="s">
        <v>849</v>
      </c>
      <c r="E586" s="2">
        <v>53.0</v>
      </c>
      <c r="F586" s="2" t="s">
        <v>29</v>
      </c>
      <c r="G586" s="2" t="s">
        <v>1327</v>
      </c>
      <c r="H586" s="2" t="s">
        <v>31</v>
      </c>
      <c r="I586" s="2" t="s">
        <v>32</v>
      </c>
      <c r="J586" s="2">
        <v>5.0</v>
      </c>
      <c r="K586" s="4">
        <v>414.13</v>
      </c>
      <c r="L586" s="5">
        <v>2070.65</v>
      </c>
      <c r="N586" s="2" t="str">
        <f>IF(Table1[Quantity] &gt; 2, "Bulk Order", "Standard Order")</f>
        <v>Bulk Order</v>
      </c>
    </row>
    <row r="587" ht="15.75" customHeight="1">
      <c r="A587" s="2" t="s">
        <v>1538</v>
      </c>
      <c r="B587" s="3">
        <v>46020.0</v>
      </c>
      <c r="C587" s="2" t="s">
        <v>1539</v>
      </c>
      <c r="D587" s="2" t="s">
        <v>1540</v>
      </c>
      <c r="E587" s="2">
        <v>24.0</v>
      </c>
      <c r="F587" s="2" t="s">
        <v>37</v>
      </c>
      <c r="G587" s="2" t="s">
        <v>1327</v>
      </c>
      <c r="H587" s="2" t="s">
        <v>60</v>
      </c>
      <c r="I587" s="2" t="s">
        <v>43</v>
      </c>
      <c r="J587" s="2">
        <v>6.0</v>
      </c>
      <c r="K587" s="4">
        <v>9761.46</v>
      </c>
      <c r="L587" s="5">
        <v>58568.76</v>
      </c>
      <c r="N587" s="2" t="str">
        <f>IF(Table1[Quantity] &gt; 2, "Bulk Order", "Standard Order")</f>
        <v>Bulk Order</v>
      </c>
    </row>
    <row r="588" ht="15.75" customHeight="1">
      <c r="A588" s="2" t="s">
        <v>1541</v>
      </c>
      <c r="B588" s="3">
        <v>45930.0</v>
      </c>
      <c r="C588" s="2" t="s">
        <v>1542</v>
      </c>
      <c r="D588" s="2" t="s">
        <v>1543</v>
      </c>
      <c r="E588" s="2">
        <v>64.0</v>
      </c>
      <c r="F588" s="2" t="s">
        <v>37</v>
      </c>
      <c r="G588" s="2" t="s">
        <v>1327</v>
      </c>
      <c r="H588" s="2" t="s">
        <v>74</v>
      </c>
      <c r="I588" s="2" t="s">
        <v>45</v>
      </c>
      <c r="J588" s="2">
        <v>2.0</v>
      </c>
      <c r="K588" s="4">
        <v>1876.89</v>
      </c>
      <c r="L588" s="5">
        <v>3753.78</v>
      </c>
      <c r="N588" s="2" t="str">
        <f>IF(Table1[Quantity] &gt; 2, "Bulk Order", "Standard Order")</f>
        <v>Standard Order</v>
      </c>
    </row>
    <row r="589" ht="15.75" customHeight="1">
      <c r="A589" s="2" t="s">
        <v>1544</v>
      </c>
      <c r="B589" s="3">
        <v>45770.0</v>
      </c>
      <c r="C589" s="2" t="s">
        <v>1545</v>
      </c>
      <c r="D589" s="2" t="s">
        <v>464</v>
      </c>
      <c r="E589" s="2">
        <v>22.0</v>
      </c>
      <c r="F589" s="2" t="s">
        <v>29</v>
      </c>
      <c r="G589" s="2" t="s">
        <v>1327</v>
      </c>
      <c r="H589" s="2" t="s">
        <v>60</v>
      </c>
      <c r="I589" s="2" t="s">
        <v>43</v>
      </c>
      <c r="J589" s="2">
        <v>5.0</v>
      </c>
      <c r="K589" s="4">
        <v>18457.22</v>
      </c>
      <c r="L589" s="5">
        <v>92286.1</v>
      </c>
      <c r="N589" s="2" t="str">
        <f>IF(Table1[Quantity] &gt; 2, "Bulk Order", "Standard Order")</f>
        <v>Bulk Order</v>
      </c>
    </row>
    <row r="590" ht="15.75" customHeight="1">
      <c r="A590" s="2" t="s">
        <v>1546</v>
      </c>
      <c r="B590" s="3">
        <v>45681.0</v>
      </c>
      <c r="C590" s="2" t="s">
        <v>1547</v>
      </c>
      <c r="D590" s="2" t="s">
        <v>1548</v>
      </c>
      <c r="E590" s="2">
        <v>40.0</v>
      </c>
      <c r="F590" s="2" t="s">
        <v>37</v>
      </c>
      <c r="G590" s="2" t="s">
        <v>1327</v>
      </c>
      <c r="H590" s="2" t="s">
        <v>56</v>
      </c>
      <c r="I590" s="2" t="s">
        <v>43</v>
      </c>
      <c r="J590" s="2">
        <v>5.0</v>
      </c>
      <c r="K590" s="4">
        <v>10274.45</v>
      </c>
      <c r="L590" s="5">
        <v>51372.25</v>
      </c>
      <c r="N590" s="2" t="str">
        <f>IF(Table1[Quantity] &gt; 2, "Bulk Order", "Standard Order")</f>
        <v>Bulk Order</v>
      </c>
    </row>
    <row r="591" ht="15.75" customHeight="1">
      <c r="A591" s="2" t="s">
        <v>1549</v>
      </c>
      <c r="B591" s="3">
        <v>45785.0</v>
      </c>
      <c r="C591" s="2" t="s">
        <v>1550</v>
      </c>
      <c r="D591" s="2" t="s">
        <v>1551</v>
      </c>
      <c r="E591" s="2">
        <v>29.0</v>
      </c>
      <c r="F591" s="2" t="s">
        <v>29</v>
      </c>
      <c r="G591" s="2" t="s">
        <v>1327</v>
      </c>
      <c r="H591" s="2" t="s">
        <v>74</v>
      </c>
      <c r="I591" s="2" t="s">
        <v>45</v>
      </c>
      <c r="J591" s="2">
        <v>10.0</v>
      </c>
      <c r="K591" s="4">
        <v>13304.47</v>
      </c>
      <c r="L591" s="5">
        <v>133044.7</v>
      </c>
      <c r="N591" s="2" t="str">
        <f>IF(Table1[Quantity] &gt; 2, "Bulk Order", "Standard Order")</f>
        <v>Bulk Order</v>
      </c>
    </row>
    <row r="592" ht="15.75" customHeight="1">
      <c r="A592" s="2" t="s">
        <v>1552</v>
      </c>
      <c r="B592" s="3">
        <v>45812.0</v>
      </c>
      <c r="C592" s="2" t="s">
        <v>1553</v>
      </c>
      <c r="D592" s="2" t="s">
        <v>1554</v>
      </c>
      <c r="E592" s="2">
        <v>21.0</v>
      </c>
      <c r="F592" s="2" t="s">
        <v>29</v>
      </c>
      <c r="G592" s="2" t="s">
        <v>1327</v>
      </c>
      <c r="H592" s="2" t="s">
        <v>56</v>
      </c>
      <c r="I592" s="2" t="s">
        <v>43</v>
      </c>
      <c r="J592" s="2">
        <v>10.0</v>
      </c>
      <c r="K592" s="4">
        <v>25698.62</v>
      </c>
      <c r="L592" s="5">
        <v>256986.2</v>
      </c>
      <c r="N592" s="2" t="str">
        <f>IF(Table1[Quantity] &gt; 2, "Bulk Order", "Standard Order")</f>
        <v>Bulk Order</v>
      </c>
    </row>
    <row r="593" ht="15.75" customHeight="1">
      <c r="A593" s="2" t="s">
        <v>1555</v>
      </c>
      <c r="B593" s="3">
        <v>45998.0</v>
      </c>
      <c r="C593" s="2" t="s">
        <v>1556</v>
      </c>
      <c r="D593" s="2" t="s">
        <v>1557</v>
      </c>
      <c r="E593" s="2">
        <v>48.0</v>
      </c>
      <c r="F593" s="2" t="s">
        <v>37</v>
      </c>
      <c r="G593" s="2" t="s">
        <v>1327</v>
      </c>
      <c r="H593" s="2" t="s">
        <v>74</v>
      </c>
      <c r="I593" s="2" t="s">
        <v>45</v>
      </c>
      <c r="J593" s="2">
        <v>4.0</v>
      </c>
      <c r="K593" s="4">
        <v>40783.14</v>
      </c>
      <c r="L593" s="5">
        <v>163132.56</v>
      </c>
      <c r="N593" s="2" t="str">
        <f>IF(Table1[Quantity] &gt; 2, "Bulk Order", "Standard Order")</f>
        <v>Bulk Order</v>
      </c>
    </row>
    <row r="594" ht="15.75" customHeight="1">
      <c r="A594" s="2" t="s">
        <v>1558</v>
      </c>
      <c r="B594" s="3">
        <v>45946.0</v>
      </c>
      <c r="C594" s="2" t="s">
        <v>1559</v>
      </c>
      <c r="D594" s="2" t="s">
        <v>1551</v>
      </c>
      <c r="E594" s="2">
        <v>65.0</v>
      </c>
      <c r="F594" s="2" t="s">
        <v>37</v>
      </c>
      <c r="G594" s="2" t="s">
        <v>1327</v>
      </c>
      <c r="H594" s="2" t="s">
        <v>31</v>
      </c>
      <c r="I594" s="2" t="s">
        <v>32</v>
      </c>
      <c r="J594" s="2">
        <v>5.0</v>
      </c>
      <c r="K594" s="4">
        <v>11824.36</v>
      </c>
      <c r="L594" s="5">
        <v>59121.8</v>
      </c>
      <c r="N594" s="2" t="str">
        <f>IF(Table1[Quantity] &gt; 2, "Bulk Order", "Standard Order")</f>
        <v>Bulk Order</v>
      </c>
    </row>
    <row r="595" ht="15.75" customHeight="1">
      <c r="A595" s="2" t="s">
        <v>1560</v>
      </c>
      <c r="B595" s="3">
        <v>46014.0</v>
      </c>
      <c r="C595" s="2" t="s">
        <v>1561</v>
      </c>
      <c r="D595" s="2" t="s">
        <v>258</v>
      </c>
      <c r="E595" s="2">
        <v>38.0</v>
      </c>
      <c r="F595" s="2" t="s">
        <v>37</v>
      </c>
      <c r="G595" s="2" t="s">
        <v>1327</v>
      </c>
      <c r="H595" s="2" t="s">
        <v>42</v>
      </c>
      <c r="I595" s="2" t="s">
        <v>41</v>
      </c>
      <c r="J595" s="2">
        <v>4.0</v>
      </c>
      <c r="K595" s="4">
        <v>25110.56</v>
      </c>
      <c r="L595" s="5">
        <v>100442.24</v>
      </c>
      <c r="N595" s="2" t="str">
        <f>IF(Table1[Quantity] &gt; 2, "Bulk Order", "Standard Order")</f>
        <v>Bulk Order</v>
      </c>
    </row>
    <row r="596" ht="15.75" customHeight="1">
      <c r="A596" s="2" t="s">
        <v>1562</v>
      </c>
      <c r="B596" s="3">
        <v>45675.0</v>
      </c>
      <c r="C596" s="2" t="s">
        <v>1563</v>
      </c>
      <c r="D596" s="2" t="s">
        <v>313</v>
      </c>
      <c r="E596" s="2">
        <v>50.0</v>
      </c>
      <c r="F596" s="2" t="s">
        <v>37</v>
      </c>
      <c r="G596" s="2" t="s">
        <v>1327</v>
      </c>
      <c r="H596" s="2" t="s">
        <v>42</v>
      </c>
      <c r="I596" s="2" t="s">
        <v>41</v>
      </c>
      <c r="J596" s="2">
        <v>8.0</v>
      </c>
      <c r="K596" s="4">
        <v>43467.0</v>
      </c>
      <c r="L596" s="5">
        <v>347736.0</v>
      </c>
      <c r="N596" s="2" t="str">
        <f>IF(Table1[Quantity] &gt; 2, "Bulk Order", "Standard Order")</f>
        <v>Bulk Order</v>
      </c>
    </row>
    <row r="597" ht="15.75" customHeight="1">
      <c r="A597" s="2" t="s">
        <v>1564</v>
      </c>
      <c r="B597" s="3">
        <v>45781.0</v>
      </c>
      <c r="C597" s="2" t="s">
        <v>1565</v>
      </c>
      <c r="D597" s="2" t="s">
        <v>348</v>
      </c>
      <c r="E597" s="2">
        <v>59.0</v>
      </c>
      <c r="F597" s="2" t="s">
        <v>37</v>
      </c>
      <c r="G597" s="2" t="s">
        <v>1327</v>
      </c>
      <c r="H597" s="2" t="s">
        <v>31</v>
      </c>
      <c r="I597" s="2" t="s">
        <v>32</v>
      </c>
      <c r="J597" s="2">
        <v>6.0</v>
      </c>
      <c r="K597" s="4">
        <v>39662.1</v>
      </c>
      <c r="L597" s="5">
        <v>237972.6</v>
      </c>
      <c r="N597" s="2" t="str">
        <f>IF(Table1[Quantity] &gt; 2, "Bulk Order", "Standard Order")</f>
        <v>Bulk Order</v>
      </c>
    </row>
    <row r="598" ht="15.75" customHeight="1">
      <c r="A598" s="2" t="s">
        <v>1566</v>
      </c>
      <c r="B598" s="3">
        <v>45851.0</v>
      </c>
      <c r="C598" s="2" t="s">
        <v>1567</v>
      </c>
      <c r="D598" s="2" t="s">
        <v>1166</v>
      </c>
      <c r="E598" s="2">
        <v>63.0</v>
      </c>
      <c r="F598" s="2" t="s">
        <v>29</v>
      </c>
      <c r="G598" s="2" t="s">
        <v>1327</v>
      </c>
      <c r="H598" s="2" t="s">
        <v>31</v>
      </c>
      <c r="I598" s="2" t="s">
        <v>32</v>
      </c>
      <c r="J598" s="2">
        <v>5.0</v>
      </c>
      <c r="K598" s="4">
        <v>14533.4</v>
      </c>
      <c r="L598" s="5">
        <v>72667.0</v>
      </c>
      <c r="N598" s="2" t="str">
        <f>IF(Table1[Quantity] &gt; 2, "Bulk Order", "Standard Order")</f>
        <v>Bulk Order</v>
      </c>
    </row>
    <row r="599" ht="15.75" customHeight="1">
      <c r="A599" s="2" t="s">
        <v>1568</v>
      </c>
      <c r="B599" s="3">
        <v>46002.0</v>
      </c>
      <c r="C599" s="2" t="s">
        <v>1569</v>
      </c>
      <c r="D599" s="2" t="s">
        <v>755</v>
      </c>
      <c r="E599" s="2">
        <v>21.0</v>
      </c>
      <c r="F599" s="2" t="s">
        <v>29</v>
      </c>
      <c r="G599" s="2" t="s">
        <v>1327</v>
      </c>
      <c r="H599" s="2" t="s">
        <v>31</v>
      </c>
      <c r="I599" s="2" t="s">
        <v>32</v>
      </c>
      <c r="J599" s="2">
        <v>4.0</v>
      </c>
      <c r="K599" s="4">
        <v>40391.3</v>
      </c>
      <c r="L599" s="5">
        <v>161565.2</v>
      </c>
      <c r="N599" s="2" t="str">
        <f>IF(Table1[Quantity] &gt; 2, "Bulk Order", "Standard Order")</f>
        <v>Bulk Order</v>
      </c>
    </row>
    <row r="600" ht="15.75" customHeight="1">
      <c r="A600" s="2" t="s">
        <v>1570</v>
      </c>
      <c r="B600" s="3">
        <v>45839.0</v>
      </c>
      <c r="C600" s="2" t="s">
        <v>1571</v>
      </c>
      <c r="D600" s="2" t="s">
        <v>1572</v>
      </c>
      <c r="E600" s="2">
        <v>62.0</v>
      </c>
      <c r="F600" s="2" t="s">
        <v>29</v>
      </c>
      <c r="G600" s="2" t="s">
        <v>1327</v>
      </c>
      <c r="H600" s="2" t="s">
        <v>64</v>
      </c>
      <c r="I600" s="2" t="s">
        <v>44</v>
      </c>
      <c r="J600" s="2">
        <v>4.0</v>
      </c>
      <c r="K600" s="4">
        <v>20118.35</v>
      </c>
      <c r="L600" s="5">
        <v>80473.4</v>
      </c>
      <c r="N600" s="2" t="str">
        <f>IF(Table1[Quantity] &gt; 2, "Bulk Order", "Standard Order")</f>
        <v>Bulk Order</v>
      </c>
    </row>
    <row r="601" ht="15.75" customHeight="1">
      <c r="A601" s="2" t="s">
        <v>1573</v>
      </c>
      <c r="B601" s="3">
        <v>45941.0</v>
      </c>
      <c r="C601" s="2" t="s">
        <v>1574</v>
      </c>
      <c r="D601" s="2" t="s">
        <v>458</v>
      </c>
      <c r="E601" s="2">
        <v>30.0</v>
      </c>
      <c r="F601" s="2" t="s">
        <v>29</v>
      </c>
      <c r="G601" s="2" t="s">
        <v>1327</v>
      </c>
      <c r="H601" s="2" t="s">
        <v>42</v>
      </c>
      <c r="I601" s="2" t="s">
        <v>41</v>
      </c>
      <c r="J601" s="2">
        <v>4.0</v>
      </c>
      <c r="K601" s="4">
        <v>17304.91</v>
      </c>
      <c r="L601" s="5">
        <v>69219.64</v>
      </c>
      <c r="N601" s="2" t="str">
        <f>IF(Table1[Quantity] &gt; 2, "Bulk Order", "Standard Order")</f>
        <v>Bulk Order</v>
      </c>
    </row>
    <row r="602" ht="15.75" customHeight="1">
      <c r="A602" s="2" t="s">
        <v>1575</v>
      </c>
      <c r="B602" s="3">
        <v>45935.0</v>
      </c>
      <c r="C602" s="2" t="s">
        <v>1576</v>
      </c>
      <c r="D602" s="2" t="s">
        <v>1577</v>
      </c>
      <c r="E602" s="2">
        <v>62.0</v>
      </c>
      <c r="F602" s="2" t="s">
        <v>37</v>
      </c>
      <c r="G602" s="2" t="s">
        <v>1327</v>
      </c>
      <c r="H602" s="2" t="s">
        <v>74</v>
      </c>
      <c r="I602" s="2" t="s">
        <v>45</v>
      </c>
      <c r="J602" s="2">
        <v>9.0</v>
      </c>
      <c r="K602" s="4">
        <v>47699.69</v>
      </c>
      <c r="L602" s="5">
        <v>429297.21</v>
      </c>
      <c r="N602" s="2" t="str">
        <f>IF(Table1[Quantity] &gt; 2, "Bulk Order", "Standard Order")</f>
        <v>Bulk Order</v>
      </c>
    </row>
    <row r="603" ht="15.75" customHeight="1">
      <c r="A603" s="2" t="s">
        <v>1578</v>
      </c>
      <c r="B603" s="3">
        <v>45812.0</v>
      </c>
      <c r="C603" s="2" t="s">
        <v>1579</v>
      </c>
      <c r="D603" s="2" t="s">
        <v>243</v>
      </c>
      <c r="E603" s="2">
        <v>44.0</v>
      </c>
      <c r="F603" s="2" t="s">
        <v>37</v>
      </c>
      <c r="G603" s="2" t="s">
        <v>1327</v>
      </c>
      <c r="H603" s="2" t="s">
        <v>31</v>
      </c>
      <c r="I603" s="2" t="s">
        <v>32</v>
      </c>
      <c r="J603" s="2">
        <v>9.0</v>
      </c>
      <c r="K603" s="4">
        <v>31690.41</v>
      </c>
      <c r="L603" s="5">
        <v>285213.69</v>
      </c>
      <c r="N603" s="2" t="str">
        <f>IF(Table1[Quantity] &gt; 2, "Bulk Order", "Standard Order")</f>
        <v>Bulk Order</v>
      </c>
    </row>
    <row r="604" ht="15.75" customHeight="1">
      <c r="A604" s="2" t="s">
        <v>1580</v>
      </c>
      <c r="B604" s="3">
        <v>46000.0</v>
      </c>
      <c r="C604" s="2" t="s">
        <v>1581</v>
      </c>
      <c r="D604" s="2" t="s">
        <v>1582</v>
      </c>
      <c r="E604" s="2">
        <v>28.0</v>
      </c>
      <c r="F604" s="2" t="s">
        <v>37</v>
      </c>
      <c r="G604" s="2" t="s">
        <v>1327</v>
      </c>
      <c r="H604" s="2" t="s">
        <v>56</v>
      </c>
      <c r="I604" s="2" t="s">
        <v>43</v>
      </c>
      <c r="J604" s="2">
        <v>8.0</v>
      </c>
      <c r="K604" s="4">
        <v>21646.64</v>
      </c>
      <c r="L604" s="5">
        <v>173173.12</v>
      </c>
      <c r="N604" s="2" t="str">
        <f>IF(Table1[Quantity] &gt; 2, "Bulk Order", "Standard Order")</f>
        <v>Bulk Order</v>
      </c>
    </row>
    <row r="605" ht="15.75" customHeight="1">
      <c r="A605" s="2" t="s">
        <v>1583</v>
      </c>
      <c r="B605" s="3">
        <v>45757.0</v>
      </c>
      <c r="C605" s="2" t="s">
        <v>1584</v>
      </c>
      <c r="D605" s="2" t="s">
        <v>95</v>
      </c>
      <c r="E605" s="2">
        <v>19.0</v>
      </c>
      <c r="F605" s="2" t="s">
        <v>37</v>
      </c>
      <c r="G605" s="2" t="s">
        <v>1327</v>
      </c>
      <c r="H605" s="2" t="s">
        <v>64</v>
      </c>
      <c r="I605" s="2" t="s">
        <v>44</v>
      </c>
      <c r="J605" s="2">
        <v>8.0</v>
      </c>
      <c r="K605" s="4">
        <v>10921.12</v>
      </c>
      <c r="L605" s="5">
        <v>87368.96</v>
      </c>
      <c r="N605" s="2" t="str">
        <f>IF(Table1[Quantity] &gt; 2, "Bulk Order", "Standard Order")</f>
        <v>Bulk Order</v>
      </c>
    </row>
    <row r="606" ht="15.75" customHeight="1">
      <c r="A606" s="2" t="s">
        <v>1585</v>
      </c>
      <c r="B606" s="3">
        <v>45885.0</v>
      </c>
      <c r="C606" s="2" t="s">
        <v>1586</v>
      </c>
      <c r="D606" s="2" t="s">
        <v>1587</v>
      </c>
      <c r="E606" s="2">
        <v>30.0</v>
      </c>
      <c r="F606" s="2" t="s">
        <v>29</v>
      </c>
      <c r="G606" s="2" t="s">
        <v>1327</v>
      </c>
      <c r="H606" s="2" t="s">
        <v>64</v>
      </c>
      <c r="I606" s="2" t="s">
        <v>44</v>
      </c>
      <c r="J606" s="2">
        <v>4.0</v>
      </c>
      <c r="K606" s="4">
        <v>31512.79</v>
      </c>
      <c r="L606" s="5">
        <v>126051.16</v>
      </c>
      <c r="N606" s="2" t="str">
        <f>IF(Table1[Quantity] &gt; 2, "Bulk Order", "Standard Order")</f>
        <v>Bulk Order</v>
      </c>
    </row>
    <row r="607" ht="15.75" customHeight="1">
      <c r="A607" s="2" t="s">
        <v>1588</v>
      </c>
      <c r="B607" s="3">
        <v>45966.0</v>
      </c>
      <c r="C607" s="2" t="s">
        <v>1589</v>
      </c>
      <c r="D607" s="2" t="s">
        <v>954</v>
      </c>
      <c r="E607" s="2">
        <v>20.0</v>
      </c>
      <c r="F607" s="2" t="s">
        <v>29</v>
      </c>
      <c r="G607" s="2" t="s">
        <v>1327</v>
      </c>
      <c r="H607" s="2" t="s">
        <v>56</v>
      </c>
      <c r="I607" s="2" t="s">
        <v>43</v>
      </c>
      <c r="J607" s="2">
        <v>6.0</v>
      </c>
      <c r="K607" s="4">
        <v>17944.07</v>
      </c>
      <c r="L607" s="5">
        <v>107664.42</v>
      </c>
      <c r="N607" s="2" t="str">
        <f>IF(Table1[Quantity] &gt; 2, "Bulk Order", "Standard Order")</f>
        <v>Bulk Order</v>
      </c>
    </row>
    <row r="608" ht="15.75" customHeight="1">
      <c r="A608" s="2" t="s">
        <v>1590</v>
      </c>
      <c r="B608" s="3">
        <v>45905.0</v>
      </c>
      <c r="C608" s="2" t="s">
        <v>1591</v>
      </c>
      <c r="D608" s="2" t="s">
        <v>730</v>
      </c>
      <c r="E608" s="2">
        <v>26.0</v>
      </c>
      <c r="F608" s="2" t="s">
        <v>37</v>
      </c>
      <c r="G608" s="2" t="s">
        <v>1327</v>
      </c>
      <c r="H608" s="2" t="s">
        <v>56</v>
      </c>
      <c r="I608" s="2" t="s">
        <v>43</v>
      </c>
      <c r="J608" s="2">
        <v>4.0</v>
      </c>
      <c r="K608" s="4">
        <v>7989.47</v>
      </c>
      <c r="L608" s="5">
        <v>31957.88</v>
      </c>
      <c r="N608" s="2" t="str">
        <f>IF(Table1[Quantity] &gt; 2, "Bulk Order", "Standard Order")</f>
        <v>Bulk Order</v>
      </c>
    </row>
    <row r="609" ht="15.75" customHeight="1">
      <c r="A609" s="2" t="s">
        <v>137</v>
      </c>
      <c r="B609" s="3">
        <v>45872.0</v>
      </c>
      <c r="C609" s="2" t="s">
        <v>1592</v>
      </c>
      <c r="D609" s="2" t="s">
        <v>1593</v>
      </c>
      <c r="E609" s="2">
        <v>35.0</v>
      </c>
      <c r="F609" s="2" t="s">
        <v>37</v>
      </c>
      <c r="G609" s="2" t="s">
        <v>1327</v>
      </c>
      <c r="H609" s="2" t="s">
        <v>74</v>
      </c>
      <c r="I609" s="2" t="s">
        <v>45</v>
      </c>
      <c r="J609" s="2">
        <v>9.0</v>
      </c>
      <c r="K609" s="4">
        <v>28747.47</v>
      </c>
      <c r="L609" s="5">
        <v>258727.23</v>
      </c>
      <c r="N609" s="2" t="str">
        <f>IF(Table1[Quantity] &gt; 2, "Bulk Order", "Standard Order")</f>
        <v>Bulk Order</v>
      </c>
    </row>
    <row r="610" ht="15.75" customHeight="1">
      <c r="A610" s="2" t="s">
        <v>1594</v>
      </c>
      <c r="B610" s="3">
        <v>45929.0</v>
      </c>
      <c r="C610" s="2" t="s">
        <v>1595</v>
      </c>
      <c r="D610" s="2" t="s">
        <v>1596</v>
      </c>
      <c r="E610" s="2">
        <v>65.0</v>
      </c>
      <c r="F610" s="2" t="s">
        <v>29</v>
      </c>
      <c r="G610" s="2" t="s">
        <v>1327</v>
      </c>
      <c r="H610" s="2" t="s">
        <v>42</v>
      </c>
      <c r="I610" s="2" t="s">
        <v>41</v>
      </c>
      <c r="J610" s="2">
        <v>7.0</v>
      </c>
      <c r="K610" s="4">
        <v>23566.47</v>
      </c>
      <c r="L610" s="5">
        <v>164965.29</v>
      </c>
      <c r="N610" s="2" t="str">
        <f>IF(Table1[Quantity] &gt; 2, "Bulk Order", "Standard Order")</f>
        <v>Bulk Order</v>
      </c>
    </row>
    <row r="611" ht="15.75" customHeight="1">
      <c r="A611" s="2" t="s">
        <v>1597</v>
      </c>
      <c r="B611" s="3">
        <v>45759.0</v>
      </c>
      <c r="C611" s="2" t="s">
        <v>1598</v>
      </c>
      <c r="D611" s="2" t="s">
        <v>776</v>
      </c>
      <c r="F611" s="2" t="s">
        <v>37</v>
      </c>
      <c r="G611" s="2" t="s">
        <v>1327</v>
      </c>
      <c r="H611" s="2" t="s">
        <v>31</v>
      </c>
      <c r="I611" s="2" t="s">
        <v>32</v>
      </c>
      <c r="J611" s="2">
        <v>9.0</v>
      </c>
      <c r="K611" s="4">
        <v>30091.26</v>
      </c>
      <c r="L611" s="5">
        <v>270821.34</v>
      </c>
      <c r="N611" s="2" t="str">
        <f>IF(Table1[Quantity] &gt; 2, "Bulk Order", "Standard Order")</f>
        <v>Bulk Order</v>
      </c>
    </row>
    <row r="612" ht="15.75" customHeight="1">
      <c r="A612" s="2" t="s">
        <v>1599</v>
      </c>
      <c r="B612" s="3">
        <v>45918.0</v>
      </c>
      <c r="C612" s="2" t="s">
        <v>1600</v>
      </c>
      <c r="D612" s="2" t="s">
        <v>359</v>
      </c>
      <c r="E612" s="2">
        <v>24.0</v>
      </c>
      <c r="F612" s="2" t="s">
        <v>37</v>
      </c>
      <c r="G612" s="2" t="s">
        <v>1327</v>
      </c>
      <c r="H612" s="2" t="s">
        <v>64</v>
      </c>
      <c r="I612" s="2" t="s">
        <v>44</v>
      </c>
      <c r="J612" s="2">
        <v>1.0</v>
      </c>
      <c r="K612" s="4">
        <v>42500.65</v>
      </c>
      <c r="L612" s="5">
        <v>42500.65</v>
      </c>
      <c r="N612" s="2" t="str">
        <f>IF(Table1[Quantity] &gt; 2, "Bulk Order", "Standard Order")</f>
        <v>Standard Order</v>
      </c>
    </row>
    <row r="613" ht="15.75" customHeight="1">
      <c r="A613" s="2" t="s">
        <v>1601</v>
      </c>
      <c r="B613" s="3">
        <v>45848.0</v>
      </c>
      <c r="C613" s="2" t="s">
        <v>1602</v>
      </c>
      <c r="D613" s="2" t="s">
        <v>674</v>
      </c>
      <c r="E613" s="2">
        <v>51.0</v>
      </c>
      <c r="F613" s="2" t="s">
        <v>29</v>
      </c>
      <c r="G613" s="2" t="s">
        <v>1327</v>
      </c>
      <c r="H613" s="2" t="s">
        <v>56</v>
      </c>
      <c r="I613" s="2" t="s">
        <v>43</v>
      </c>
      <c r="J613" s="2">
        <v>6.0</v>
      </c>
      <c r="K613" s="4">
        <v>35959.07</v>
      </c>
      <c r="L613" s="5">
        <v>215754.42</v>
      </c>
      <c r="N613" s="2" t="str">
        <f>IF(Table1[Quantity] &gt; 2, "Bulk Order", "Standard Order")</f>
        <v>Bulk Order</v>
      </c>
    </row>
    <row r="614" ht="15.75" customHeight="1">
      <c r="A614" s="2" t="s">
        <v>1603</v>
      </c>
      <c r="B614" s="3">
        <v>45912.0</v>
      </c>
      <c r="C614" s="2" t="s">
        <v>1604</v>
      </c>
      <c r="D614" s="2" t="s">
        <v>692</v>
      </c>
      <c r="E614" s="2">
        <v>33.0</v>
      </c>
      <c r="F614" s="2" t="s">
        <v>29</v>
      </c>
      <c r="G614" s="2" t="s">
        <v>1327</v>
      </c>
      <c r="H614" s="2" t="s">
        <v>64</v>
      </c>
      <c r="I614" s="2" t="s">
        <v>44</v>
      </c>
      <c r="J614" s="2">
        <v>4.0</v>
      </c>
      <c r="K614" s="4">
        <v>12941.53</v>
      </c>
      <c r="L614" s="5">
        <v>51766.12</v>
      </c>
      <c r="N614" s="2" t="str">
        <f>IF(Table1[Quantity] &gt; 2, "Bulk Order", "Standard Order")</f>
        <v>Bulk Order</v>
      </c>
    </row>
    <row r="615" ht="15.75" customHeight="1">
      <c r="A615" s="2" t="s">
        <v>1605</v>
      </c>
      <c r="B615" s="3">
        <v>45723.0</v>
      </c>
      <c r="C615" s="2" t="s">
        <v>1606</v>
      </c>
      <c r="D615" s="2" t="s">
        <v>702</v>
      </c>
      <c r="E615" s="2">
        <v>54.0</v>
      </c>
      <c r="F615" s="2" t="s">
        <v>37</v>
      </c>
      <c r="G615" s="2" t="s">
        <v>1327</v>
      </c>
      <c r="H615" s="2" t="s">
        <v>56</v>
      </c>
      <c r="I615" s="2" t="s">
        <v>43</v>
      </c>
      <c r="J615" s="2">
        <v>7.0</v>
      </c>
      <c r="K615" s="4">
        <v>14207.04</v>
      </c>
      <c r="L615" s="5">
        <v>99449.28</v>
      </c>
      <c r="N615" s="2" t="str">
        <f>IF(Table1[Quantity] &gt; 2, "Bulk Order", "Standard Order")</f>
        <v>Bulk Order</v>
      </c>
    </row>
    <row r="616" ht="15.75" customHeight="1">
      <c r="A616" s="2" t="s">
        <v>1607</v>
      </c>
      <c r="B616" s="3">
        <v>45688.0</v>
      </c>
      <c r="C616" s="2" t="s">
        <v>1608</v>
      </c>
      <c r="D616" s="2" t="s">
        <v>1232</v>
      </c>
      <c r="E616" s="2">
        <v>54.0</v>
      </c>
      <c r="F616" s="2" t="s">
        <v>37</v>
      </c>
      <c r="G616" s="2" t="s">
        <v>1327</v>
      </c>
      <c r="H616" s="2" t="s">
        <v>56</v>
      </c>
      <c r="I616" s="2" t="s">
        <v>43</v>
      </c>
      <c r="J616" s="2">
        <v>3.0</v>
      </c>
      <c r="K616" s="4">
        <v>3846.65</v>
      </c>
      <c r="L616" s="5">
        <v>11539.95</v>
      </c>
      <c r="N616" s="2" t="str">
        <f>IF(Table1[Quantity] &gt; 2, "Bulk Order", "Standard Order")</f>
        <v>Bulk Order</v>
      </c>
    </row>
    <row r="617" ht="15.75" customHeight="1">
      <c r="A617" s="2" t="s">
        <v>1609</v>
      </c>
      <c r="B617" s="3">
        <v>45749.0</v>
      </c>
      <c r="C617" s="2" t="s">
        <v>471</v>
      </c>
      <c r="D617" s="2" t="s">
        <v>1010</v>
      </c>
      <c r="E617" s="2">
        <v>63.0</v>
      </c>
      <c r="F617" s="2" t="s">
        <v>37</v>
      </c>
      <c r="G617" s="2" t="s">
        <v>1327</v>
      </c>
      <c r="H617" s="2" t="s">
        <v>64</v>
      </c>
      <c r="I617" s="2" t="s">
        <v>44</v>
      </c>
      <c r="J617" s="2">
        <v>8.0</v>
      </c>
      <c r="K617" s="4">
        <v>35023.64</v>
      </c>
      <c r="L617" s="5">
        <v>280189.12</v>
      </c>
      <c r="N617" s="2" t="str">
        <f>IF(Table1[Quantity] &gt; 2, "Bulk Order", "Standard Order")</f>
        <v>Bulk Order</v>
      </c>
    </row>
    <row r="618" ht="15.75" customHeight="1">
      <c r="A618" s="2" t="s">
        <v>1610</v>
      </c>
      <c r="B618" s="3">
        <v>45971.0</v>
      </c>
      <c r="C618" s="2" t="s">
        <v>1611</v>
      </c>
      <c r="D618" s="2" t="s">
        <v>1612</v>
      </c>
      <c r="E618" s="2">
        <v>65.0</v>
      </c>
      <c r="F618" s="2" t="s">
        <v>29</v>
      </c>
      <c r="G618" s="2" t="s">
        <v>1327</v>
      </c>
      <c r="H618" s="2" t="s">
        <v>31</v>
      </c>
      <c r="I618" s="2" t="s">
        <v>32</v>
      </c>
      <c r="J618" s="2">
        <v>4.0</v>
      </c>
      <c r="K618" s="4">
        <v>30607.95</v>
      </c>
      <c r="L618" s="5">
        <v>122431.8</v>
      </c>
      <c r="N618" s="2" t="str">
        <f>IF(Table1[Quantity] &gt; 2, "Bulk Order", "Standard Order")</f>
        <v>Bulk Order</v>
      </c>
    </row>
    <row r="619" ht="15.75" customHeight="1">
      <c r="A619" s="2" t="s">
        <v>1613</v>
      </c>
      <c r="B619" s="3">
        <v>45794.0</v>
      </c>
      <c r="C619" s="2" t="s">
        <v>1614</v>
      </c>
      <c r="D619" s="2" t="s">
        <v>1615</v>
      </c>
      <c r="E619" s="2">
        <v>40.0</v>
      </c>
      <c r="F619" s="2" t="s">
        <v>37</v>
      </c>
      <c r="G619" s="2" t="s">
        <v>1327</v>
      </c>
      <c r="H619" s="2" t="s">
        <v>42</v>
      </c>
      <c r="I619" s="2" t="s">
        <v>41</v>
      </c>
      <c r="J619" s="2">
        <v>10.0</v>
      </c>
      <c r="K619" s="4">
        <v>47314.42</v>
      </c>
      <c r="L619" s="5">
        <v>473144.2</v>
      </c>
      <c r="N619" s="2" t="str">
        <f>IF(Table1[Quantity] &gt; 2, "Bulk Order", "Standard Order")</f>
        <v>Bulk Order</v>
      </c>
    </row>
    <row r="620" ht="15.75" customHeight="1">
      <c r="A620" s="2" t="s">
        <v>1616</v>
      </c>
      <c r="B620" s="3">
        <v>45763.0</v>
      </c>
      <c r="C620" s="2" t="s">
        <v>1617</v>
      </c>
      <c r="D620" s="2" t="s">
        <v>291</v>
      </c>
      <c r="E620" s="2">
        <v>53.0</v>
      </c>
      <c r="F620" s="2" t="s">
        <v>29</v>
      </c>
      <c r="G620" s="2" t="s">
        <v>1327</v>
      </c>
      <c r="H620" s="2" t="s">
        <v>56</v>
      </c>
      <c r="I620" s="2" t="s">
        <v>43</v>
      </c>
      <c r="J620" s="2">
        <v>4.0</v>
      </c>
      <c r="K620" s="4">
        <v>13994.12</v>
      </c>
      <c r="L620" s="5">
        <v>55976.48</v>
      </c>
      <c r="N620" s="2" t="str">
        <f>IF(Table1[Quantity] &gt; 2, "Bulk Order", "Standard Order")</f>
        <v>Bulk Order</v>
      </c>
    </row>
    <row r="621" ht="15.75" customHeight="1">
      <c r="A621" s="2" t="s">
        <v>1618</v>
      </c>
      <c r="B621" s="3">
        <v>45666.0</v>
      </c>
      <c r="C621" s="2" t="s">
        <v>1457</v>
      </c>
      <c r="D621" s="2" t="s">
        <v>893</v>
      </c>
      <c r="E621" s="2">
        <v>46.0</v>
      </c>
      <c r="F621" s="2" t="s">
        <v>29</v>
      </c>
      <c r="G621" s="2" t="s">
        <v>1327</v>
      </c>
      <c r="H621" s="2" t="s">
        <v>31</v>
      </c>
      <c r="I621" s="2" t="s">
        <v>32</v>
      </c>
      <c r="J621" s="2">
        <v>5.0</v>
      </c>
      <c r="K621" s="4">
        <v>29215.06</v>
      </c>
      <c r="L621" s="5">
        <v>146075.3</v>
      </c>
      <c r="N621" s="2" t="str">
        <f>IF(Table1[Quantity] &gt; 2, "Bulk Order", "Standard Order")</f>
        <v>Bulk Order</v>
      </c>
    </row>
    <row r="622" ht="15.75" customHeight="1">
      <c r="A622" s="2" t="s">
        <v>1619</v>
      </c>
      <c r="B622" s="3">
        <v>45866.0</v>
      </c>
      <c r="C622" s="2" t="s">
        <v>1620</v>
      </c>
      <c r="D622" s="2" t="s">
        <v>630</v>
      </c>
      <c r="E622" s="2">
        <v>37.0</v>
      </c>
      <c r="F622" s="2" t="s">
        <v>37</v>
      </c>
      <c r="G622" s="2" t="s">
        <v>1327</v>
      </c>
      <c r="H622" s="2" t="s">
        <v>60</v>
      </c>
      <c r="I622" s="2" t="s">
        <v>43</v>
      </c>
      <c r="J622" s="2">
        <v>10.0</v>
      </c>
      <c r="K622" s="4">
        <v>48566.78</v>
      </c>
      <c r="L622" s="5">
        <v>485667.8</v>
      </c>
      <c r="N622" s="2" t="str">
        <f>IF(Table1[Quantity] &gt; 2, "Bulk Order", "Standard Order")</f>
        <v>Bulk Order</v>
      </c>
    </row>
    <row r="623" ht="15.75" customHeight="1">
      <c r="A623" s="2" t="s">
        <v>1621</v>
      </c>
      <c r="B623" s="3">
        <v>45889.0</v>
      </c>
      <c r="C623" s="2" t="s">
        <v>1622</v>
      </c>
      <c r="D623" s="2" t="s">
        <v>1029</v>
      </c>
      <c r="E623" s="2">
        <v>27.0</v>
      </c>
      <c r="F623" s="2" t="s">
        <v>37</v>
      </c>
      <c r="G623" s="2" t="s">
        <v>1327</v>
      </c>
      <c r="H623" s="2" t="s">
        <v>74</v>
      </c>
      <c r="I623" s="2" t="s">
        <v>45</v>
      </c>
      <c r="J623" s="2">
        <v>9.0</v>
      </c>
      <c r="K623" s="4">
        <v>34835.55</v>
      </c>
      <c r="L623" s="5">
        <v>313519.95</v>
      </c>
      <c r="N623" s="2" t="str">
        <f>IF(Table1[Quantity] &gt; 2, "Bulk Order", "Standard Order")</f>
        <v>Bulk Order</v>
      </c>
    </row>
    <row r="624" ht="15.75" customHeight="1">
      <c r="A624" s="2" t="s">
        <v>1623</v>
      </c>
      <c r="B624" s="3">
        <v>45982.0</v>
      </c>
      <c r="C624" s="2" t="s">
        <v>1624</v>
      </c>
      <c r="D624" s="2" t="s">
        <v>1299</v>
      </c>
      <c r="E624" s="2">
        <v>41.0</v>
      </c>
      <c r="F624" s="2" t="s">
        <v>29</v>
      </c>
      <c r="G624" s="2" t="s">
        <v>1625</v>
      </c>
      <c r="H624" s="2" t="s">
        <v>42</v>
      </c>
      <c r="I624" s="2" t="s">
        <v>41</v>
      </c>
      <c r="J624" s="2">
        <v>6.0</v>
      </c>
      <c r="K624" s="4">
        <v>19488.23</v>
      </c>
      <c r="L624" s="5">
        <v>116929.38</v>
      </c>
      <c r="N624" s="2" t="str">
        <f>IF(Table1[Quantity] &gt; 2, "Bulk Order", "Standard Order")</f>
        <v>Bulk Order</v>
      </c>
    </row>
    <row r="625" ht="15.75" customHeight="1">
      <c r="A625" s="2" t="s">
        <v>1626</v>
      </c>
      <c r="B625" s="3">
        <v>45862.0</v>
      </c>
      <c r="C625" s="2" t="s">
        <v>329</v>
      </c>
      <c r="D625" s="2" t="s">
        <v>184</v>
      </c>
      <c r="E625" s="2">
        <v>57.0</v>
      </c>
      <c r="F625" s="2" t="s">
        <v>29</v>
      </c>
      <c r="G625" s="2" t="s">
        <v>1625</v>
      </c>
      <c r="H625" s="2" t="s">
        <v>74</v>
      </c>
      <c r="I625" s="2" t="s">
        <v>45</v>
      </c>
      <c r="J625" s="2">
        <v>5.0</v>
      </c>
      <c r="K625" s="4">
        <v>6122.59</v>
      </c>
      <c r="L625" s="5">
        <v>30612.95</v>
      </c>
      <c r="N625" s="2" t="str">
        <f>IF(Table1[Quantity] &gt; 2, "Bulk Order", "Standard Order")</f>
        <v>Bulk Order</v>
      </c>
    </row>
    <row r="626" ht="15.75" customHeight="1">
      <c r="A626" s="2" t="s">
        <v>1627</v>
      </c>
      <c r="B626" s="3">
        <v>45934.0</v>
      </c>
      <c r="C626" s="2" t="s">
        <v>1628</v>
      </c>
      <c r="D626" s="2" t="s">
        <v>145</v>
      </c>
      <c r="E626" s="2">
        <v>31.0</v>
      </c>
      <c r="F626" s="2" t="s">
        <v>29</v>
      </c>
      <c r="G626" s="2" t="s">
        <v>1625</v>
      </c>
      <c r="H626" s="2" t="s">
        <v>42</v>
      </c>
      <c r="I626" s="2" t="s">
        <v>41</v>
      </c>
      <c r="J626" s="2">
        <v>7.0</v>
      </c>
      <c r="K626" s="4">
        <v>15396.37</v>
      </c>
      <c r="L626" s="5">
        <v>107774.59</v>
      </c>
      <c r="N626" s="2" t="str">
        <f>IF(Table1[Quantity] &gt; 2, "Bulk Order", "Standard Order")</f>
        <v>Bulk Order</v>
      </c>
    </row>
    <row r="627" ht="15.75" customHeight="1">
      <c r="A627" s="2" t="s">
        <v>1629</v>
      </c>
      <c r="B627" s="3">
        <v>45757.0</v>
      </c>
      <c r="C627" s="2" t="s">
        <v>1630</v>
      </c>
      <c r="D627" s="2" t="s">
        <v>846</v>
      </c>
      <c r="E627" s="2">
        <v>65.0</v>
      </c>
      <c r="F627" s="2" t="s">
        <v>37</v>
      </c>
      <c r="G627" s="2" t="s">
        <v>1625</v>
      </c>
      <c r="H627" s="2" t="s">
        <v>42</v>
      </c>
      <c r="I627" s="2" t="s">
        <v>41</v>
      </c>
      <c r="J627" s="2">
        <v>9.0</v>
      </c>
      <c r="K627" s="4">
        <v>39414.46</v>
      </c>
      <c r="L627" s="5">
        <v>354730.14</v>
      </c>
      <c r="N627" s="2" t="str">
        <f>IF(Table1[Quantity] &gt; 2, "Bulk Order", "Standard Order")</f>
        <v>Bulk Order</v>
      </c>
    </row>
    <row r="628" ht="15.75" customHeight="1">
      <c r="A628" s="2" t="s">
        <v>1631</v>
      </c>
      <c r="B628" s="3">
        <v>45870.0</v>
      </c>
      <c r="C628" s="2" t="s">
        <v>1632</v>
      </c>
      <c r="D628" s="2" t="s">
        <v>142</v>
      </c>
      <c r="E628" s="2">
        <v>35.0</v>
      </c>
      <c r="F628" s="2" t="s">
        <v>29</v>
      </c>
      <c r="G628" s="2" t="s">
        <v>1625</v>
      </c>
      <c r="H628" s="2" t="s">
        <v>31</v>
      </c>
      <c r="I628" s="2" t="s">
        <v>32</v>
      </c>
      <c r="J628" s="2">
        <v>2.0</v>
      </c>
      <c r="K628" s="4">
        <v>23837.41</v>
      </c>
      <c r="L628" s="5">
        <v>47674.82</v>
      </c>
      <c r="N628" s="2" t="str">
        <f>IF(Table1[Quantity] &gt; 2, "Bulk Order", "Standard Order")</f>
        <v>Standard Order</v>
      </c>
    </row>
    <row r="629" ht="15.75" customHeight="1">
      <c r="A629" s="2" t="s">
        <v>1633</v>
      </c>
      <c r="B629" s="3">
        <v>45790.0</v>
      </c>
      <c r="C629" s="2" t="s">
        <v>1634</v>
      </c>
      <c r="D629" s="2" t="s">
        <v>1635</v>
      </c>
      <c r="E629" s="2">
        <v>33.0</v>
      </c>
      <c r="F629" s="2" t="s">
        <v>29</v>
      </c>
      <c r="G629" s="2" t="s">
        <v>1625</v>
      </c>
      <c r="H629" s="2" t="s">
        <v>56</v>
      </c>
      <c r="I629" s="2" t="s">
        <v>43</v>
      </c>
      <c r="J629" s="2">
        <v>1.0</v>
      </c>
      <c r="K629" s="4">
        <v>15831.03</v>
      </c>
      <c r="L629" s="5">
        <v>15831.03</v>
      </c>
      <c r="N629" s="2" t="str">
        <f>IF(Table1[Quantity] &gt; 2, "Bulk Order", "Standard Order")</f>
        <v>Standard Order</v>
      </c>
    </row>
    <row r="630" ht="15.75" customHeight="1">
      <c r="A630" s="2" t="s">
        <v>1636</v>
      </c>
      <c r="B630" s="3">
        <v>45952.0</v>
      </c>
      <c r="C630" s="2" t="s">
        <v>1637</v>
      </c>
      <c r="D630" s="2" t="s">
        <v>303</v>
      </c>
      <c r="E630" s="2">
        <v>21.0</v>
      </c>
      <c r="F630" s="2" t="s">
        <v>29</v>
      </c>
      <c r="G630" s="2" t="s">
        <v>1625</v>
      </c>
      <c r="H630" s="2" t="s">
        <v>42</v>
      </c>
      <c r="I630" s="2" t="s">
        <v>41</v>
      </c>
      <c r="J630" s="2">
        <v>8.0</v>
      </c>
      <c r="K630" s="4">
        <v>21791.66</v>
      </c>
      <c r="L630" s="5">
        <v>174333.28</v>
      </c>
      <c r="N630" s="2" t="str">
        <f>IF(Table1[Quantity] &gt; 2, "Bulk Order", "Standard Order")</f>
        <v>Bulk Order</v>
      </c>
    </row>
    <row r="631" ht="15.75" customHeight="1">
      <c r="A631" s="2" t="s">
        <v>1638</v>
      </c>
      <c r="B631" s="3">
        <v>45995.0</v>
      </c>
      <c r="C631" s="2" t="s">
        <v>1639</v>
      </c>
      <c r="D631" s="2" t="s">
        <v>356</v>
      </c>
      <c r="E631" s="2">
        <v>44.0</v>
      </c>
      <c r="F631" s="2" t="s">
        <v>29</v>
      </c>
      <c r="G631" s="2" t="s">
        <v>1625</v>
      </c>
      <c r="H631" s="2" t="s">
        <v>60</v>
      </c>
      <c r="I631" s="2" t="s">
        <v>43</v>
      </c>
      <c r="J631" s="2">
        <v>5.0</v>
      </c>
      <c r="K631" s="4">
        <v>17556.08</v>
      </c>
      <c r="L631" s="5">
        <v>87780.4</v>
      </c>
      <c r="N631" s="2" t="str">
        <f>IF(Table1[Quantity] &gt; 2, "Bulk Order", "Standard Order")</f>
        <v>Bulk Order</v>
      </c>
    </row>
    <row r="632" ht="15.75" customHeight="1">
      <c r="A632" s="2" t="s">
        <v>1640</v>
      </c>
      <c r="B632" s="3">
        <v>45768.0</v>
      </c>
      <c r="C632" s="2" t="s">
        <v>1641</v>
      </c>
      <c r="D632" s="2" t="s">
        <v>1642</v>
      </c>
      <c r="E632" s="2">
        <v>39.0</v>
      </c>
      <c r="F632" s="2" t="s">
        <v>29</v>
      </c>
      <c r="G632" s="2" t="s">
        <v>1625</v>
      </c>
      <c r="H632" s="2" t="s">
        <v>64</v>
      </c>
      <c r="I632" s="2" t="s">
        <v>44</v>
      </c>
      <c r="J632" s="2">
        <v>1.0</v>
      </c>
      <c r="K632" s="4">
        <v>3992.85</v>
      </c>
      <c r="L632" s="5">
        <v>3992.85</v>
      </c>
      <c r="N632" s="2" t="str">
        <f>IF(Table1[Quantity] &gt; 2, "Bulk Order", "Standard Order")</f>
        <v>Standard Order</v>
      </c>
    </row>
    <row r="633" ht="15.75" customHeight="1">
      <c r="A633" s="2" t="s">
        <v>1643</v>
      </c>
      <c r="B633" s="3">
        <v>45788.0</v>
      </c>
      <c r="C633" s="2" t="s">
        <v>1644</v>
      </c>
      <c r="D633" s="2" t="s">
        <v>1645</v>
      </c>
      <c r="E633" s="2">
        <v>34.0</v>
      </c>
      <c r="F633" s="2" t="s">
        <v>37</v>
      </c>
      <c r="G633" s="2" t="s">
        <v>1625</v>
      </c>
      <c r="H633" s="2" t="s">
        <v>31</v>
      </c>
      <c r="I633" s="2" t="s">
        <v>32</v>
      </c>
      <c r="J633" s="2">
        <v>2.0</v>
      </c>
      <c r="K633" s="4">
        <v>6210.24</v>
      </c>
      <c r="L633" s="5">
        <v>12420.48</v>
      </c>
      <c r="N633" s="2" t="str">
        <f>IF(Table1[Quantity] &gt; 2, "Bulk Order", "Standard Order")</f>
        <v>Standard Order</v>
      </c>
    </row>
    <row r="634" ht="15.75" customHeight="1">
      <c r="A634" s="2" t="s">
        <v>1646</v>
      </c>
      <c r="B634" s="3">
        <v>45715.0</v>
      </c>
      <c r="C634" s="2" t="s">
        <v>1647</v>
      </c>
      <c r="D634" s="2" t="s">
        <v>1648</v>
      </c>
      <c r="E634" s="2">
        <v>39.0</v>
      </c>
      <c r="F634" s="2" t="s">
        <v>29</v>
      </c>
      <c r="G634" s="2" t="s">
        <v>1625</v>
      </c>
      <c r="H634" s="2" t="s">
        <v>74</v>
      </c>
      <c r="I634" s="2" t="s">
        <v>45</v>
      </c>
      <c r="J634" s="2">
        <v>6.0</v>
      </c>
      <c r="K634" s="4">
        <v>20561.97</v>
      </c>
      <c r="L634" s="5">
        <v>123371.82</v>
      </c>
      <c r="N634" s="2" t="str">
        <f>IF(Table1[Quantity] &gt; 2, "Bulk Order", "Standard Order")</f>
        <v>Bulk Order</v>
      </c>
    </row>
    <row r="635" ht="15.75" customHeight="1">
      <c r="A635" s="2" t="s">
        <v>1649</v>
      </c>
      <c r="B635" s="3">
        <v>45672.0</v>
      </c>
      <c r="C635" s="2" t="s">
        <v>1650</v>
      </c>
      <c r="D635" s="2" t="s">
        <v>1651</v>
      </c>
      <c r="E635" s="2">
        <v>47.0</v>
      </c>
      <c r="F635" s="2" t="s">
        <v>29</v>
      </c>
      <c r="G635" s="2" t="s">
        <v>1625</v>
      </c>
      <c r="H635" s="2" t="s">
        <v>56</v>
      </c>
      <c r="I635" s="2" t="s">
        <v>43</v>
      </c>
      <c r="J635" s="2">
        <v>5.0</v>
      </c>
      <c r="K635" s="4">
        <v>36809.08</v>
      </c>
      <c r="L635" s="5">
        <v>184045.4</v>
      </c>
      <c r="N635" s="2" t="str">
        <f>IF(Table1[Quantity] &gt; 2, "Bulk Order", "Standard Order")</f>
        <v>Bulk Order</v>
      </c>
    </row>
    <row r="636" ht="15.75" customHeight="1">
      <c r="A636" s="2" t="s">
        <v>1652</v>
      </c>
      <c r="B636" s="3">
        <v>45844.0</v>
      </c>
      <c r="C636" s="2" t="s">
        <v>1653</v>
      </c>
      <c r="D636" s="2" t="s">
        <v>142</v>
      </c>
      <c r="E636" s="2">
        <v>27.0</v>
      </c>
      <c r="F636" s="2" t="s">
        <v>37</v>
      </c>
      <c r="G636" s="2" t="s">
        <v>1625</v>
      </c>
      <c r="H636" s="2" t="s">
        <v>64</v>
      </c>
      <c r="I636" s="2" t="s">
        <v>44</v>
      </c>
      <c r="J636" s="2">
        <v>1.0</v>
      </c>
      <c r="K636" s="4">
        <v>29263.26</v>
      </c>
      <c r="L636" s="5">
        <v>29263.26</v>
      </c>
      <c r="N636" s="2" t="str">
        <f>IF(Table1[Quantity] &gt; 2, "Bulk Order", "Standard Order")</f>
        <v>Standard Order</v>
      </c>
    </row>
    <row r="637" ht="15.75" customHeight="1">
      <c r="A637" s="2" t="s">
        <v>1654</v>
      </c>
      <c r="B637" s="3">
        <v>45733.0</v>
      </c>
      <c r="C637" s="2" t="s">
        <v>1655</v>
      </c>
      <c r="D637" s="2" t="s">
        <v>1656</v>
      </c>
      <c r="E637" s="2">
        <v>56.0</v>
      </c>
      <c r="F637" s="2" t="s">
        <v>37</v>
      </c>
      <c r="G637" s="2" t="s">
        <v>1625</v>
      </c>
      <c r="H637" s="2" t="s">
        <v>42</v>
      </c>
      <c r="I637" s="2" t="s">
        <v>41</v>
      </c>
      <c r="J637" s="2">
        <v>4.0</v>
      </c>
      <c r="K637" s="4">
        <v>12169.49</v>
      </c>
      <c r="L637" s="5">
        <v>48677.96</v>
      </c>
      <c r="N637" s="2" t="str">
        <f>IF(Table1[Quantity] &gt; 2, "Bulk Order", "Standard Order")</f>
        <v>Bulk Order</v>
      </c>
    </row>
    <row r="638" ht="15.75" customHeight="1">
      <c r="A638" s="2" t="s">
        <v>1657</v>
      </c>
      <c r="B638" s="3">
        <v>46006.0</v>
      </c>
      <c r="C638" s="2" t="s">
        <v>1658</v>
      </c>
      <c r="D638" s="2" t="s">
        <v>1048</v>
      </c>
      <c r="E638" s="2">
        <v>34.0</v>
      </c>
      <c r="F638" s="2" t="s">
        <v>37</v>
      </c>
      <c r="G638" s="2" t="s">
        <v>1625</v>
      </c>
      <c r="H638" s="2" t="s">
        <v>31</v>
      </c>
      <c r="I638" s="2" t="s">
        <v>32</v>
      </c>
      <c r="J638" s="2">
        <v>9.0</v>
      </c>
      <c r="K638" s="4">
        <v>45000.49</v>
      </c>
      <c r="L638" s="5">
        <v>405004.41</v>
      </c>
      <c r="N638" s="2" t="str">
        <f>IF(Table1[Quantity] &gt; 2, "Bulk Order", "Standard Order")</f>
        <v>Bulk Order</v>
      </c>
    </row>
    <row r="639" ht="15.75" customHeight="1">
      <c r="A639" s="2" t="s">
        <v>1659</v>
      </c>
      <c r="B639" s="3">
        <v>45973.0</v>
      </c>
      <c r="C639" s="2" t="s">
        <v>1660</v>
      </c>
      <c r="D639" s="2" t="s">
        <v>1661</v>
      </c>
      <c r="E639" s="2">
        <v>62.0</v>
      </c>
      <c r="F639" s="2" t="s">
        <v>29</v>
      </c>
      <c r="G639" s="2" t="s">
        <v>1625</v>
      </c>
      <c r="H639" s="2" t="s">
        <v>64</v>
      </c>
      <c r="I639" s="2" t="s">
        <v>44</v>
      </c>
      <c r="J639" s="2">
        <v>7.0</v>
      </c>
      <c r="K639" s="4">
        <v>41677.34</v>
      </c>
      <c r="L639" s="5">
        <v>291741.38</v>
      </c>
      <c r="N639" s="2" t="str">
        <f>IF(Table1[Quantity] &gt; 2, "Bulk Order", "Standard Order")</f>
        <v>Bulk Order</v>
      </c>
    </row>
    <row r="640" ht="15.75" customHeight="1">
      <c r="A640" s="2" t="s">
        <v>1662</v>
      </c>
      <c r="B640" s="3">
        <v>45671.0</v>
      </c>
      <c r="C640" s="2" t="s">
        <v>1663</v>
      </c>
      <c r="D640" s="2" t="s">
        <v>121</v>
      </c>
      <c r="E640" s="2">
        <v>43.0</v>
      </c>
      <c r="F640" s="2" t="s">
        <v>29</v>
      </c>
      <c r="G640" s="2" t="s">
        <v>1625</v>
      </c>
      <c r="H640" s="2" t="s">
        <v>60</v>
      </c>
      <c r="I640" s="2" t="s">
        <v>43</v>
      </c>
      <c r="J640" s="2">
        <v>9.0</v>
      </c>
      <c r="K640" s="4">
        <v>13617.93</v>
      </c>
      <c r="L640" s="5">
        <v>122561.37</v>
      </c>
      <c r="N640" s="2" t="str">
        <f>IF(Table1[Quantity] &gt; 2, "Bulk Order", "Standard Order")</f>
        <v>Bulk Order</v>
      </c>
    </row>
    <row r="641" ht="15.75" customHeight="1">
      <c r="A641" s="2" t="s">
        <v>1664</v>
      </c>
      <c r="B641" s="3">
        <v>45956.0</v>
      </c>
      <c r="C641" s="2" t="s">
        <v>1665</v>
      </c>
      <c r="D641" s="2" t="s">
        <v>1540</v>
      </c>
      <c r="E641" s="2">
        <v>44.0</v>
      </c>
      <c r="F641" s="2" t="s">
        <v>37</v>
      </c>
      <c r="G641" s="2" t="s">
        <v>1625</v>
      </c>
      <c r="H641" s="2" t="s">
        <v>74</v>
      </c>
      <c r="I641" s="2" t="s">
        <v>45</v>
      </c>
      <c r="J641" s="2">
        <v>7.0</v>
      </c>
      <c r="K641" s="4">
        <v>46263.01</v>
      </c>
      <c r="L641" s="5">
        <v>323841.07</v>
      </c>
      <c r="N641" s="2" t="str">
        <f>IF(Table1[Quantity] &gt; 2, "Bulk Order", "Standard Order")</f>
        <v>Bulk Order</v>
      </c>
    </row>
    <row r="642" ht="15.75" customHeight="1">
      <c r="A642" s="2" t="s">
        <v>1666</v>
      </c>
      <c r="B642" s="3">
        <v>45737.0</v>
      </c>
      <c r="C642" s="2" t="s">
        <v>1667</v>
      </c>
      <c r="D642" s="2" t="s">
        <v>86</v>
      </c>
      <c r="E642" s="2">
        <v>46.0</v>
      </c>
      <c r="F642" s="2" t="s">
        <v>37</v>
      </c>
      <c r="G642" s="2" t="s">
        <v>1625</v>
      </c>
      <c r="H642" s="2" t="s">
        <v>60</v>
      </c>
      <c r="I642" s="2" t="s">
        <v>43</v>
      </c>
      <c r="J642" s="2">
        <v>6.0</v>
      </c>
      <c r="K642" s="4">
        <v>24216.91</v>
      </c>
      <c r="L642" s="5">
        <v>145301.46</v>
      </c>
      <c r="N642" s="2" t="str">
        <f>IF(Table1[Quantity] &gt; 2, "Bulk Order", "Standard Order")</f>
        <v>Bulk Order</v>
      </c>
    </row>
    <row r="643" ht="15.75" customHeight="1">
      <c r="A643" s="2" t="s">
        <v>1668</v>
      </c>
      <c r="B643" s="3">
        <v>45807.0</v>
      </c>
      <c r="C643" s="2" t="s">
        <v>1669</v>
      </c>
      <c r="D643" s="2" t="s">
        <v>249</v>
      </c>
      <c r="E643" s="2">
        <v>28.0</v>
      </c>
      <c r="F643" s="2" t="s">
        <v>29</v>
      </c>
      <c r="G643" s="2" t="s">
        <v>1625</v>
      </c>
      <c r="H643" s="2" t="s">
        <v>74</v>
      </c>
      <c r="I643" s="2" t="s">
        <v>45</v>
      </c>
      <c r="J643" s="2">
        <v>9.0</v>
      </c>
      <c r="K643" s="4">
        <v>7093.9</v>
      </c>
      <c r="L643" s="5">
        <v>63845.1</v>
      </c>
      <c r="N643" s="2" t="str">
        <f>IF(Table1[Quantity] &gt; 2, "Bulk Order", "Standard Order")</f>
        <v>Bulk Order</v>
      </c>
    </row>
    <row r="644" ht="15.75" customHeight="1">
      <c r="A644" s="2" t="s">
        <v>1670</v>
      </c>
      <c r="B644" s="3">
        <v>45913.0</v>
      </c>
      <c r="C644" s="2" t="s">
        <v>1671</v>
      </c>
      <c r="D644" s="2" t="s">
        <v>837</v>
      </c>
      <c r="E644" s="2">
        <v>19.0</v>
      </c>
      <c r="F644" s="2" t="s">
        <v>29</v>
      </c>
      <c r="G644" s="2" t="s">
        <v>1625</v>
      </c>
      <c r="H644" s="2" t="s">
        <v>64</v>
      </c>
      <c r="I644" s="2" t="s">
        <v>44</v>
      </c>
      <c r="J644" s="2">
        <v>8.0</v>
      </c>
      <c r="K644" s="4">
        <v>41749.55</v>
      </c>
      <c r="L644" s="5">
        <v>333996.4</v>
      </c>
      <c r="N644" s="2" t="str">
        <f>IF(Table1[Quantity] &gt; 2, "Bulk Order", "Standard Order")</f>
        <v>Bulk Order</v>
      </c>
    </row>
    <row r="645" ht="15.75" customHeight="1">
      <c r="A645" s="2" t="s">
        <v>1672</v>
      </c>
      <c r="B645" s="3">
        <v>45834.0</v>
      </c>
      <c r="C645" s="2" t="s">
        <v>1673</v>
      </c>
      <c r="D645" s="2" t="s">
        <v>1674</v>
      </c>
      <c r="E645" s="2">
        <v>30.0</v>
      </c>
      <c r="F645" s="2" t="s">
        <v>29</v>
      </c>
      <c r="G645" s="2" t="s">
        <v>1625</v>
      </c>
      <c r="H645" s="2" t="s">
        <v>56</v>
      </c>
      <c r="I645" s="2" t="s">
        <v>43</v>
      </c>
      <c r="J645" s="2">
        <v>7.0</v>
      </c>
      <c r="K645" s="4">
        <v>48642.53</v>
      </c>
      <c r="L645" s="5">
        <v>340497.71</v>
      </c>
      <c r="N645" s="2" t="str">
        <f>IF(Table1[Quantity] &gt; 2, "Bulk Order", "Standard Order")</f>
        <v>Bulk Order</v>
      </c>
    </row>
    <row r="646" ht="15.75" customHeight="1">
      <c r="A646" s="2" t="s">
        <v>1675</v>
      </c>
      <c r="B646" s="3">
        <v>45956.0</v>
      </c>
      <c r="C646" s="2" t="s">
        <v>1676</v>
      </c>
      <c r="D646" s="2" t="s">
        <v>1227</v>
      </c>
      <c r="E646" s="2">
        <v>56.0</v>
      </c>
      <c r="F646" s="2" t="s">
        <v>29</v>
      </c>
      <c r="G646" s="2" t="s">
        <v>1625</v>
      </c>
      <c r="H646" s="2" t="s">
        <v>60</v>
      </c>
      <c r="I646" s="2" t="s">
        <v>43</v>
      </c>
      <c r="J646" s="2">
        <v>4.0</v>
      </c>
      <c r="K646" s="4">
        <v>42299.16</v>
      </c>
      <c r="L646" s="5">
        <v>169196.64</v>
      </c>
      <c r="N646" s="2" t="str">
        <f>IF(Table1[Quantity] &gt; 2, "Bulk Order", "Standard Order")</f>
        <v>Bulk Order</v>
      </c>
    </row>
    <row r="647" ht="15.75" customHeight="1">
      <c r="A647" s="2" t="s">
        <v>1677</v>
      </c>
      <c r="B647" s="3">
        <v>45965.0</v>
      </c>
      <c r="C647" s="2" t="s">
        <v>1678</v>
      </c>
      <c r="D647" s="2" t="s">
        <v>1367</v>
      </c>
      <c r="E647" s="2">
        <v>57.0</v>
      </c>
      <c r="F647" s="2" t="s">
        <v>37</v>
      </c>
      <c r="G647" s="2" t="s">
        <v>1625</v>
      </c>
      <c r="H647" s="2" t="s">
        <v>42</v>
      </c>
      <c r="I647" s="2" t="s">
        <v>41</v>
      </c>
      <c r="J647" s="2">
        <v>6.0</v>
      </c>
      <c r="K647" s="4">
        <v>39830.65</v>
      </c>
      <c r="L647" s="5">
        <v>238983.9</v>
      </c>
      <c r="N647" s="2" t="str">
        <f>IF(Table1[Quantity] &gt; 2, "Bulk Order", "Standard Order")</f>
        <v>Bulk Order</v>
      </c>
    </row>
    <row r="648" ht="15.75" customHeight="1">
      <c r="A648" s="2" t="s">
        <v>1679</v>
      </c>
      <c r="B648" s="3">
        <v>45787.0</v>
      </c>
      <c r="C648" s="2" t="s">
        <v>1680</v>
      </c>
      <c r="D648" s="2" t="s">
        <v>1587</v>
      </c>
      <c r="E648" s="2">
        <v>56.0</v>
      </c>
      <c r="F648" s="2" t="s">
        <v>29</v>
      </c>
      <c r="G648" s="2" t="s">
        <v>1625</v>
      </c>
      <c r="H648" s="2" t="s">
        <v>74</v>
      </c>
      <c r="I648" s="2" t="s">
        <v>45</v>
      </c>
      <c r="J648" s="2">
        <v>1.0</v>
      </c>
      <c r="K648" s="4">
        <v>8906.18</v>
      </c>
      <c r="L648" s="5">
        <v>8906.18</v>
      </c>
      <c r="N648" s="2" t="str">
        <f>IF(Table1[Quantity] &gt; 2, "Bulk Order", "Standard Order")</f>
        <v>Standard Order</v>
      </c>
    </row>
    <row r="649" ht="15.75" customHeight="1">
      <c r="A649" s="2" t="s">
        <v>1681</v>
      </c>
      <c r="B649" s="3">
        <v>45668.0</v>
      </c>
      <c r="C649" s="2" t="s">
        <v>1682</v>
      </c>
      <c r="D649" s="2" t="s">
        <v>1683</v>
      </c>
      <c r="E649" s="2">
        <v>21.0</v>
      </c>
      <c r="F649" s="2" t="s">
        <v>37</v>
      </c>
      <c r="G649" s="2" t="s">
        <v>1625</v>
      </c>
      <c r="H649" s="2" t="s">
        <v>60</v>
      </c>
      <c r="I649" s="2" t="s">
        <v>43</v>
      </c>
      <c r="J649" s="2">
        <v>9.0</v>
      </c>
      <c r="K649" s="4">
        <v>21792.76</v>
      </c>
      <c r="L649" s="5">
        <v>196134.84</v>
      </c>
      <c r="N649" s="2" t="str">
        <f>IF(Table1[Quantity] &gt; 2, "Bulk Order", "Standard Order")</f>
        <v>Bulk Order</v>
      </c>
    </row>
    <row r="650" ht="15.75" customHeight="1">
      <c r="A650" s="2" t="s">
        <v>1684</v>
      </c>
      <c r="B650" s="3">
        <v>45980.0</v>
      </c>
      <c r="C650" s="2" t="s">
        <v>1685</v>
      </c>
      <c r="D650" s="2" t="s">
        <v>560</v>
      </c>
      <c r="E650" s="2">
        <v>61.0</v>
      </c>
      <c r="F650" s="2" t="s">
        <v>37</v>
      </c>
      <c r="G650" s="2" t="s">
        <v>1625</v>
      </c>
      <c r="H650" s="2" t="s">
        <v>42</v>
      </c>
      <c r="I650" s="2" t="s">
        <v>41</v>
      </c>
      <c r="J650" s="2">
        <v>8.0</v>
      </c>
      <c r="K650" s="4">
        <v>27492.16</v>
      </c>
      <c r="L650" s="5">
        <v>219937.28</v>
      </c>
      <c r="N650" s="2" t="str">
        <f>IF(Table1[Quantity] &gt; 2, "Bulk Order", "Standard Order")</f>
        <v>Bulk Order</v>
      </c>
    </row>
    <row r="651" ht="15.75" customHeight="1">
      <c r="A651" s="2" t="s">
        <v>1686</v>
      </c>
      <c r="B651" s="3">
        <v>46007.0</v>
      </c>
      <c r="C651" s="2" t="s">
        <v>1687</v>
      </c>
      <c r="D651" s="2" t="s">
        <v>1688</v>
      </c>
      <c r="E651" s="2">
        <v>52.0</v>
      </c>
      <c r="F651" s="2" t="s">
        <v>29</v>
      </c>
      <c r="G651" s="2" t="s">
        <v>1625</v>
      </c>
      <c r="H651" s="2" t="s">
        <v>42</v>
      </c>
      <c r="I651" s="2" t="s">
        <v>41</v>
      </c>
      <c r="J651" s="2">
        <v>3.0</v>
      </c>
      <c r="K651" s="4">
        <v>16041.29</v>
      </c>
      <c r="L651" s="5">
        <v>48123.87</v>
      </c>
      <c r="N651" s="2" t="str">
        <f>IF(Table1[Quantity] &gt; 2, "Bulk Order", "Standard Order")</f>
        <v>Bulk Order</v>
      </c>
    </row>
    <row r="652" ht="15.75" customHeight="1">
      <c r="A652" s="2" t="s">
        <v>1689</v>
      </c>
      <c r="B652" s="3">
        <v>45970.0</v>
      </c>
      <c r="C652" s="2" t="s">
        <v>1690</v>
      </c>
      <c r="D652" s="2" t="s">
        <v>1007</v>
      </c>
      <c r="E652" s="2">
        <v>34.0</v>
      </c>
      <c r="F652" s="2" t="s">
        <v>29</v>
      </c>
      <c r="G652" s="2" t="s">
        <v>1625</v>
      </c>
      <c r="H652" s="2" t="s">
        <v>56</v>
      </c>
      <c r="I652" s="2" t="s">
        <v>43</v>
      </c>
      <c r="J652" s="2">
        <v>6.0</v>
      </c>
      <c r="K652" s="4">
        <v>18644.18</v>
      </c>
      <c r="L652" s="5">
        <v>111865.08</v>
      </c>
      <c r="N652" s="2" t="str">
        <f>IF(Table1[Quantity] &gt; 2, "Bulk Order", "Standard Order")</f>
        <v>Bulk Order</v>
      </c>
    </row>
    <row r="653" ht="15.75" customHeight="1">
      <c r="A653" s="2" t="s">
        <v>1691</v>
      </c>
      <c r="B653" s="3">
        <v>45997.0</v>
      </c>
      <c r="C653" s="2" t="s">
        <v>1692</v>
      </c>
      <c r="D653" s="2" t="s">
        <v>1693</v>
      </c>
      <c r="E653" s="2">
        <v>22.0</v>
      </c>
      <c r="F653" s="2" t="s">
        <v>37</v>
      </c>
      <c r="G653" s="2" t="s">
        <v>1625</v>
      </c>
      <c r="H653" s="2" t="s">
        <v>60</v>
      </c>
      <c r="I653" s="2" t="s">
        <v>43</v>
      </c>
      <c r="J653" s="2">
        <v>8.0</v>
      </c>
      <c r="K653" s="4">
        <v>49347.28</v>
      </c>
      <c r="L653" s="5">
        <v>394778.24</v>
      </c>
      <c r="N653" s="2" t="str">
        <f>IF(Table1[Quantity] &gt; 2, "Bulk Order", "Standard Order")</f>
        <v>Bulk Order</v>
      </c>
    </row>
    <row r="654" ht="15.75" customHeight="1">
      <c r="A654" s="2" t="s">
        <v>1694</v>
      </c>
      <c r="B654" s="3">
        <v>45793.0</v>
      </c>
      <c r="C654" s="2" t="s">
        <v>1695</v>
      </c>
      <c r="D654" s="2" t="s">
        <v>1696</v>
      </c>
      <c r="E654" s="2">
        <v>45.0</v>
      </c>
      <c r="F654" s="2" t="s">
        <v>29</v>
      </c>
      <c r="G654" s="2" t="s">
        <v>1625</v>
      </c>
      <c r="H654" s="2" t="s">
        <v>42</v>
      </c>
      <c r="I654" s="2" t="s">
        <v>41</v>
      </c>
      <c r="J654" s="2">
        <v>3.0</v>
      </c>
      <c r="K654" s="4">
        <v>17931.34</v>
      </c>
      <c r="L654" s="5">
        <v>53794.02</v>
      </c>
      <c r="N654" s="2" t="str">
        <f>IF(Table1[Quantity] &gt; 2, "Bulk Order", "Standard Order")</f>
        <v>Bulk Order</v>
      </c>
    </row>
    <row r="655" ht="15.75" customHeight="1">
      <c r="A655" s="2" t="s">
        <v>1697</v>
      </c>
      <c r="B655" s="3">
        <v>45829.0</v>
      </c>
      <c r="C655" s="2" t="s">
        <v>1698</v>
      </c>
      <c r="D655" s="2" t="s">
        <v>240</v>
      </c>
      <c r="E655" s="2">
        <v>61.0</v>
      </c>
      <c r="F655" s="2" t="s">
        <v>37</v>
      </c>
      <c r="G655" s="2" t="s">
        <v>1625</v>
      </c>
      <c r="H655" s="2" t="s">
        <v>42</v>
      </c>
      <c r="I655" s="2" t="s">
        <v>41</v>
      </c>
      <c r="J655" s="2">
        <v>7.0</v>
      </c>
      <c r="K655" s="4">
        <v>15331.09</v>
      </c>
      <c r="L655" s="5">
        <v>107317.63</v>
      </c>
      <c r="N655" s="2" t="str">
        <f>IF(Table1[Quantity] &gt; 2, "Bulk Order", "Standard Order")</f>
        <v>Bulk Order</v>
      </c>
    </row>
    <row r="656" ht="15.75" customHeight="1">
      <c r="A656" s="2" t="s">
        <v>1699</v>
      </c>
      <c r="B656" s="3">
        <v>45796.0</v>
      </c>
      <c r="C656" s="2" t="s">
        <v>1700</v>
      </c>
      <c r="D656" s="2" t="s">
        <v>1018</v>
      </c>
      <c r="E656" s="2">
        <v>62.0</v>
      </c>
      <c r="F656" s="2" t="s">
        <v>37</v>
      </c>
      <c r="G656" s="2" t="s">
        <v>1625</v>
      </c>
      <c r="H656" s="2" t="s">
        <v>60</v>
      </c>
      <c r="I656" s="2" t="s">
        <v>43</v>
      </c>
      <c r="J656" s="2">
        <v>9.0</v>
      </c>
      <c r="K656" s="4">
        <v>44135.66</v>
      </c>
      <c r="L656" s="5">
        <v>397220.94</v>
      </c>
      <c r="N656" s="2" t="str">
        <f>IF(Table1[Quantity] &gt; 2, "Bulk Order", "Standard Order")</f>
        <v>Bulk Order</v>
      </c>
    </row>
    <row r="657" ht="15.75" customHeight="1">
      <c r="A657" s="2" t="s">
        <v>1701</v>
      </c>
      <c r="B657" s="3">
        <v>45743.0</v>
      </c>
      <c r="C657" s="2" t="s">
        <v>1702</v>
      </c>
      <c r="D657" s="2" t="s">
        <v>1091</v>
      </c>
      <c r="E657" s="2">
        <v>21.0</v>
      </c>
      <c r="F657" s="2" t="s">
        <v>37</v>
      </c>
      <c r="G657" s="2" t="s">
        <v>1625</v>
      </c>
      <c r="H657" s="2" t="s">
        <v>56</v>
      </c>
      <c r="I657" s="2" t="s">
        <v>43</v>
      </c>
      <c r="J657" s="2">
        <v>10.0</v>
      </c>
      <c r="K657" s="4">
        <v>29646.26</v>
      </c>
      <c r="L657" s="5">
        <v>296462.6</v>
      </c>
      <c r="N657" s="2" t="str">
        <f>IF(Table1[Quantity] &gt; 2, "Bulk Order", "Standard Order")</f>
        <v>Bulk Order</v>
      </c>
    </row>
    <row r="658" ht="15.75" customHeight="1">
      <c r="A658" s="2" t="s">
        <v>1703</v>
      </c>
      <c r="B658" s="3">
        <v>45906.0</v>
      </c>
      <c r="C658" s="2" t="s">
        <v>1704</v>
      </c>
      <c r="D658" s="2" t="s">
        <v>1572</v>
      </c>
      <c r="E658" s="2">
        <v>23.0</v>
      </c>
      <c r="F658" s="2" t="s">
        <v>29</v>
      </c>
      <c r="G658" s="2" t="s">
        <v>1625</v>
      </c>
      <c r="H658" s="2" t="s">
        <v>42</v>
      </c>
      <c r="I658" s="2" t="s">
        <v>41</v>
      </c>
      <c r="J658" s="2">
        <v>9.0</v>
      </c>
      <c r="K658" s="4">
        <v>28865.26</v>
      </c>
      <c r="L658" s="5">
        <v>259787.34</v>
      </c>
      <c r="N658" s="2" t="str">
        <f>IF(Table1[Quantity] &gt; 2, "Bulk Order", "Standard Order")</f>
        <v>Bulk Order</v>
      </c>
    </row>
    <row r="659" ht="15.75" customHeight="1">
      <c r="A659" s="2" t="s">
        <v>1705</v>
      </c>
      <c r="B659" s="3">
        <v>45786.0</v>
      </c>
      <c r="C659" s="2" t="s">
        <v>1706</v>
      </c>
      <c r="D659" s="2" t="s">
        <v>86</v>
      </c>
      <c r="E659" s="2">
        <v>65.0</v>
      </c>
      <c r="F659" s="2" t="s">
        <v>29</v>
      </c>
      <c r="G659" s="2" t="s">
        <v>1625</v>
      </c>
      <c r="H659" s="2" t="s">
        <v>56</v>
      </c>
      <c r="I659" s="2" t="s">
        <v>43</v>
      </c>
      <c r="J659" s="2">
        <v>9.0</v>
      </c>
      <c r="K659" s="4">
        <v>20619.08</v>
      </c>
      <c r="L659" s="5">
        <v>185571.72</v>
      </c>
      <c r="N659" s="2" t="str">
        <f>IF(Table1[Quantity] &gt; 2, "Bulk Order", "Standard Order")</f>
        <v>Bulk Order</v>
      </c>
    </row>
    <row r="660" ht="15.75" customHeight="1">
      <c r="A660" s="2" t="s">
        <v>1707</v>
      </c>
      <c r="B660" s="3">
        <v>45753.0</v>
      </c>
      <c r="C660" s="2" t="s">
        <v>1708</v>
      </c>
      <c r="D660" s="2" t="s">
        <v>1709</v>
      </c>
      <c r="E660" s="2">
        <v>51.0</v>
      </c>
      <c r="F660" s="2" t="s">
        <v>37</v>
      </c>
      <c r="G660" s="2" t="s">
        <v>1625</v>
      </c>
      <c r="H660" s="2" t="s">
        <v>74</v>
      </c>
      <c r="I660" s="2" t="s">
        <v>45</v>
      </c>
      <c r="J660" s="2">
        <v>7.0</v>
      </c>
      <c r="K660" s="4">
        <v>15202.84</v>
      </c>
      <c r="L660" s="5">
        <v>106419.88</v>
      </c>
      <c r="N660" s="2" t="str">
        <f>IF(Table1[Quantity] &gt; 2, "Bulk Order", "Standard Order")</f>
        <v>Bulk Order</v>
      </c>
    </row>
    <row r="661" ht="15.75" customHeight="1">
      <c r="A661" s="2" t="s">
        <v>1710</v>
      </c>
      <c r="B661" s="3">
        <v>45979.0</v>
      </c>
      <c r="C661" s="2" t="s">
        <v>1711</v>
      </c>
      <c r="D661" s="2" t="s">
        <v>1712</v>
      </c>
      <c r="E661" s="2">
        <v>18.0</v>
      </c>
      <c r="F661" s="2" t="s">
        <v>37</v>
      </c>
      <c r="G661" s="2" t="s">
        <v>1625</v>
      </c>
      <c r="H661" s="2" t="s">
        <v>74</v>
      </c>
      <c r="I661" s="2" t="s">
        <v>45</v>
      </c>
      <c r="J661" s="2">
        <v>1.0</v>
      </c>
      <c r="K661" s="4">
        <v>2599.12</v>
      </c>
      <c r="L661" s="5">
        <v>2599.12</v>
      </c>
      <c r="N661" s="2" t="str">
        <f>IF(Table1[Quantity] &gt; 2, "Bulk Order", "Standard Order")</f>
        <v>Standard Order</v>
      </c>
    </row>
    <row r="662" ht="15.75" customHeight="1">
      <c r="A662" s="2" t="s">
        <v>1713</v>
      </c>
      <c r="B662" s="3">
        <v>45784.0</v>
      </c>
      <c r="C662" s="2" t="s">
        <v>1714</v>
      </c>
      <c r="D662" s="2" t="s">
        <v>843</v>
      </c>
      <c r="E662" s="2">
        <v>52.0</v>
      </c>
      <c r="F662" s="2" t="s">
        <v>37</v>
      </c>
      <c r="G662" s="2" t="s">
        <v>1625</v>
      </c>
      <c r="H662" s="2" t="s">
        <v>60</v>
      </c>
      <c r="I662" s="2" t="s">
        <v>43</v>
      </c>
      <c r="J662" s="2">
        <v>9.0</v>
      </c>
      <c r="K662" s="4">
        <v>22182.44</v>
      </c>
      <c r="L662" s="5">
        <v>199641.96</v>
      </c>
      <c r="N662" s="2" t="str">
        <f>IF(Table1[Quantity] &gt; 2, "Bulk Order", "Standard Order")</f>
        <v>Bulk Order</v>
      </c>
    </row>
    <row r="663" ht="15.75" customHeight="1">
      <c r="A663" s="2" t="s">
        <v>1715</v>
      </c>
      <c r="B663" s="3">
        <v>45830.0</v>
      </c>
      <c r="C663" s="2" t="s">
        <v>1716</v>
      </c>
      <c r="D663" s="2" t="s">
        <v>702</v>
      </c>
      <c r="E663" s="2">
        <v>54.0</v>
      </c>
      <c r="F663" s="2" t="s">
        <v>37</v>
      </c>
      <c r="G663" s="2" t="s">
        <v>1625</v>
      </c>
      <c r="H663" s="2" t="s">
        <v>42</v>
      </c>
      <c r="I663" s="2" t="s">
        <v>41</v>
      </c>
      <c r="J663" s="2">
        <v>6.0</v>
      </c>
      <c r="K663" s="4">
        <v>35006.3</v>
      </c>
      <c r="L663" s="5">
        <v>210037.8</v>
      </c>
      <c r="N663" s="2" t="str">
        <f>IF(Table1[Quantity] &gt; 2, "Bulk Order", "Standard Order")</f>
        <v>Bulk Order</v>
      </c>
    </row>
    <row r="664" ht="15.75" customHeight="1">
      <c r="A664" s="2" t="s">
        <v>1717</v>
      </c>
      <c r="B664" s="3">
        <v>45686.0</v>
      </c>
      <c r="C664" s="2" t="s">
        <v>1718</v>
      </c>
      <c r="D664" s="2" t="s">
        <v>92</v>
      </c>
      <c r="E664" s="2">
        <v>29.0</v>
      </c>
      <c r="F664" s="2" t="s">
        <v>37</v>
      </c>
      <c r="G664" s="2" t="s">
        <v>1625</v>
      </c>
      <c r="H664" s="2" t="s">
        <v>74</v>
      </c>
      <c r="I664" s="2" t="s">
        <v>45</v>
      </c>
      <c r="J664" s="2">
        <v>5.0</v>
      </c>
      <c r="K664" s="4">
        <v>13013.63</v>
      </c>
      <c r="L664" s="5">
        <v>65068.15</v>
      </c>
      <c r="N664" s="2" t="str">
        <f>IF(Table1[Quantity] &gt; 2, "Bulk Order", "Standard Order")</f>
        <v>Bulk Order</v>
      </c>
    </row>
    <row r="665" ht="15.75" customHeight="1">
      <c r="A665" s="2" t="s">
        <v>1719</v>
      </c>
      <c r="B665" s="3">
        <v>45712.0</v>
      </c>
      <c r="C665" s="2" t="s">
        <v>1720</v>
      </c>
      <c r="D665" s="2" t="s">
        <v>160</v>
      </c>
      <c r="E665" s="2">
        <v>35.0</v>
      </c>
      <c r="F665" s="2" t="s">
        <v>37</v>
      </c>
      <c r="G665" s="2" t="s">
        <v>1625</v>
      </c>
      <c r="H665" s="2" t="s">
        <v>60</v>
      </c>
      <c r="I665" s="2" t="s">
        <v>43</v>
      </c>
      <c r="J665" s="2">
        <v>5.0</v>
      </c>
      <c r="K665" s="4">
        <v>26823.14</v>
      </c>
      <c r="L665" s="5">
        <v>134115.7</v>
      </c>
      <c r="N665" s="2" t="str">
        <f>IF(Table1[Quantity] &gt; 2, "Bulk Order", "Standard Order")</f>
        <v>Bulk Order</v>
      </c>
    </row>
    <row r="666" ht="15.75" customHeight="1">
      <c r="A666" s="2" t="s">
        <v>1721</v>
      </c>
      <c r="B666" s="3">
        <v>45718.0</v>
      </c>
      <c r="C666" s="2" t="s">
        <v>1722</v>
      </c>
      <c r="D666" s="2" t="s">
        <v>313</v>
      </c>
      <c r="E666" s="2">
        <v>65.0</v>
      </c>
      <c r="F666" s="2" t="s">
        <v>37</v>
      </c>
      <c r="G666" s="2" t="s">
        <v>1625</v>
      </c>
      <c r="H666" s="2" t="s">
        <v>60</v>
      </c>
      <c r="I666" s="2" t="s">
        <v>43</v>
      </c>
      <c r="J666" s="2">
        <v>6.0</v>
      </c>
      <c r="K666" s="4">
        <v>25123.86</v>
      </c>
      <c r="L666" s="5">
        <v>150743.16</v>
      </c>
      <c r="N666" s="2" t="str">
        <f>IF(Table1[Quantity] &gt; 2, "Bulk Order", "Standard Order")</f>
        <v>Bulk Order</v>
      </c>
    </row>
    <row r="667" ht="15.75" customHeight="1">
      <c r="A667" s="2" t="s">
        <v>1723</v>
      </c>
      <c r="B667" s="3">
        <v>45685.0</v>
      </c>
      <c r="C667" s="2" t="s">
        <v>1724</v>
      </c>
      <c r="D667" s="2" t="s">
        <v>1683</v>
      </c>
      <c r="E667" s="2">
        <v>47.0</v>
      </c>
      <c r="F667" s="2" t="s">
        <v>37</v>
      </c>
      <c r="G667" s="2" t="s">
        <v>1625</v>
      </c>
      <c r="H667" s="2" t="s">
        <v>42</v>
      </c>
      <c r="I667" s="2" t="s">
        <v>41</v>
      </c>
      <c r="J667" s="2">
        <v>3.0</v>
      </c>
      <c r="K667" s="4">
        <v>45718.65</v>
      </c>
      <c r="L667" s="5">
        <v>137155.95</v>
      </c>
      <c r="N667" s="2" t="str">
        <f>IF(Table1[Quantity] &gt; 2, "Bulk Order", "Standard Order")</f>
        <v>Bulk Order</v>
      </c>
    </row>
    <row r="668" ht="15.75" customHeight="1">
      <c r="A668" s="2" t="s">
        <v>1725</v>
      </c>
      <c r="B668" s="3">
        <v>45712.0</v>
      </c>
      <c r="C668" s="2" t="s">
        <v>1726</v>
      </c>
      <c r="D668" s="2" t="s">
        <v>115</v>
      </c>
      <c r="E668" s="2">
        <v>37.0</v>
      </c>
      <c r="F668" s="2" t="s">
        <v>37</v>
      </c>
      <c r="G668" s="2" t="s">
        <v>1625</v>
      </c>
      <c r="H668" s="2" t="s">
        <v>56</v>
      </c>
      <c r="I668" s="2" t="s">
        <v>43</v>
      </c>
      <c r="J668" s="2">
        <v>4.0</v>
      </c>
      <c r="K668" s="4">
        <v>25840.34</v>
      </c>
      <c r="L668" s="5">
        <v>103361.36</v>
      </c>
      <c r="N668" s="2" t="str">
        <f>IF(Table1[Quantity] &gt; 2, "Bulk Order", "Standard Order")</f>
        <v>Bulk Order</v>
      </c>
    </row>
    <row r="669" ht="15.75" customHeight="1">
      <c r="A669" s="2" t="s">
        <v>1727</v>
      </c>
      <c r="B669" s="3">
        <v>45969.0</v>
      </c>
      <c r="C669" s="2" t="s">
        <v>1728</v>
      </c>
      <c r="D669" s="2" t="s">
        <v>550</v>
      </c>
      <c r="E669" s="2">
        <v>34.0</v>
      </c>
      <c r="F669" s="2" t="s">
        <v>37</v>
      </c>
      <c r="G669" s="2" t="s">
        <v>1625</v>
      </c>
      <c r="H669" s="2" t="s">
        <v>74</v>
      </c>
      <c r="I669" s="2" t="s">
        <v>45</v>
      </c>
      <c r="J669" s="2">
        <v>5.0</v>
      </c>
      <c r="K669" s="4">
        <v>49012.25</v>
      </c>
      <c r="L669" s="5">
        <v>245061.25</v>
      </c>
      <c r="N669" s="2" t="str">
        <f>IF(Table1[Quantity] &gt; 2, "Bulk Order", "Standard Order")</f>
        <v>Bulk Order</v>
      </c>
    </row>
    <row r="670" ht="15.75" customHeight="1">
      <c r="A670" s="2" t="s">
        <v>1729</v>
      </c>
      <c r="B670" s="3">
        <v>45823.0</v>
      </c>
      <c r="C670" s="2" t="s">
        <v>1730</v>
      </c>
      <c r="D670" s="2" t="s">
        <v>1731</v>
      </c>
      <c r="E670" s="2">
        <v>57.0</v>
      </c>
      <c r="F670" s="2" t="s">
        <v>37</v>
      </c>
      <c r="G670" s="2" t="s">
        <v>1625</v>
      </c>
      <c r="H670" s="2" t="s">
        <v>56</v>
      </c>
      <c r="I670" s="2" t="s">
        <v>43</v>
      </c>
      <c r="J670" s="2">
        <v>2.0</v>
      </c>
      <c r="K670" s="4">
        <v>42518.8</v>
      </c>
      <c r="L670" s="5">
        <v>85037.6</v>
      </c>
      <c r="N670" s="2" t="str">
        <f>IF(Table1[Quantity] &gt; 2, "Bulk Order", "Standard Order")</f>
        <v>Standard Order</v>
      </c>
    </row>
    <row r="671" ht="15.75" customHeight="1">
      <c r="A671" s="2" t="s">
        <v>1732</v>
      </c>
      <c r="B671" s="3">
        <v>45812.0</v>
      </c>
      <c r="C671" s="2" t="s">
        <v>1733</v>
      </c>
      <c r="D671" s="2" t="s">
        <v>1389</v>
      </c>
      <c r="E671" s="2">
        <v>49.0</v>
      </c>
      <c r="F671" s="2" t="s">
        <v>29</v>
      </c>
      <c r="G671" s="2" t="s">
        <v>1625</v>
      </c>
      <c r="H671" s="2" t="s">
        <v>31</v>
      </c>
      <c r="I671" s="2" t="s">
        <v>32</v>
      </c>
      <c r="J671" s="2">
        <v>4.0</v>
      </c>
      <c r="K671" s="4">
        <v>22806.21</v>
      </c>
      <c r="L671" s="5">
        <v>91224.84</v>
      </c>
      <c r="N671" s="2" t="str">
        <f>IF(Table1[Quantity] &gt; 2, "Bulk Order", "Standard Order")</f>
        <v>Bulk Order</v>
      </c>
    </row>
    <row r="672" ht="15.75" customHeight="1">
      <c r="A672" s="2" t="s">
        <v>1734</v>
      </c>
      <c r="B672" s="3">
        <v>45956.0</v>
      </c>
      <c r="C672" s="2" t="s">
        <v>412</v>
      </c>
      <c r="D672" s="2" t="s">
        <v>1216</v>
      </c>
      <c r="E672" s="2">
        <v>53.0</v>
      </c>
      <c r="F672" s="2" t="s">
        <v>29</v>
      </c>
      <c r="G672" s="2" t="s">
        <v>1625</v>
      </c>
      <c r="H672" s="2" t="s">
        <v>60</v>
      </c>
      <c r="I672" s="2" t="s">
        <v>43</v>
      </c>
      <c r="J672" s="2">
        <v>4.0</v>
      </c>
      <c r="K672" s="4">
        <v>41264.56</v>
      </c>
      <c r="L672" s="5">
        <v>165058.24</v>
      </c>
      <c r="N672" s="2" t="str">
        <f>IF(Table1[Quantity] &gt; 2, "Bulk Order", "Standard Order")</f>
        <v>Bulk Order</v>
      </c>
    </row>
    <row r="673" ht="15.75" customHeight="1">
      <c r="A673" s="2" t="s">
        <v>1735</v>
      </c>
      <c r="B673" s="3">
        <v>45752.0</v>
      </c>
      <c r="C673" s="2" t="s">
        <v>1736</v>
      </c>
      <c r="D673" s="2" t="s">
        <v>560</v>
      </c>
      <c r="E673" s="2">
        <v>40.0</v>
      </c>
      <c r="F673" s="2" t="s">
        <v>29</v>
      </c>
      <c r="G673" s="2" t="s">
        <v>1625</v>
      </c>
      <c r="H673" s="2" t="s">
        <v>64</v>
      </c>
      <c r="I673" s="2" t="s">
        <v>44</v>
      </c>
      <c r="J673" s="2">
        <v>5.0</v>
      </c>
      <c r="K673" s="4">
        <v>18223.06</v>
      </c>
      <c r="L673" s="5">
        <v>91115.3</v>
      </c>
      <c r="N673" s="2" t="str">
        <f>IF(Table1[Quantity] &gt; 2, "Bulk Order", "Standard Order")</f>
        <v>Bulk Order</v>
      </c>
    </row>
    <row r="674" ht="15.75" customHeight="1">
      <c r="A674" s="2" t="s">
        <v>1737</v>
      </c>
      <c r="B674" s="3">
        <v>45837.0</v>
      </c>
      <c r="C674" s="2" t="s">
        <v>1738</v>
      </c>
      <c r="D674" s="2" t="s">
        <v>1739</v>
      </c>
      <c r="E674" s="2">
        <v>48.0</v>
      </c>
      <c r="F674" s="2" t="s">
        <v>37</v>
      </c>
      <c r="G674" s="2" t="s">
        <v>1625</v>
      </c>
      <c r="H674" s="2" t="s">
        <v>64</v>
      </c>
      <c r="I674" s="2" t="s">
        <v>44</v>
      </c>
      <c r="J674" s="2">
        <v>3.0</v>
      </c>
      <c r="K674" s="4">
        <v>46253.94</v>
      </c>
      <c r="L674" s="5">
        <v>138761.82</v>
      </c>
      <c r="N674" s="2" t="str">
        <f>IF(Table1[Quantity] &gt; 2, "Bulk Order", "Standard Order")</f>
        <v>Bulk Order</v>
      </c>
    </row>
    <row r="675" ht="15.75" customHeight="1">
      <c r="A675" s="2" t="s">
        <v>1740</v>
      </c>
      <c r="B675" s="3">
        <v>45954.0</v>
      </c>
      <c r="C675" s="2" t="s">
        <v>858</v>
      </c>
      <c r="D675" s="2" t="s">
        <v>322</v>
      </c>
      <c r="E675" s="2">
        <v>21.0</v>
      </c>
      <c r="F675" s="2" t="s">
        <v>29</v>
      </c>
      <c r="G675" s="2" t="s">
        <v>1625</v>
      </c>
      <c r="H675" s="2" t="s">
        <v>60</v>
      </c>
      <c r="I675" s="2" t="s">
        <v>43</v>
      </c>
      <c r="J675" s="2">
        <v>9.0</v>
      </c>
      <c r="K675" s="4">
        <v>29804.26</v>
      </c>
      <c r="L675" s="5">
        <v>268238.34</v>
      </c>
      <c r="N675" s="2" t="str">
        <f>IF(Table1[Quantity] &gt; 2, "Bulk Order", "Standard Order")</f>
        <v>Bulk Order</v>
      </c>
    </row>
    <row r="676" ht="15.75" customHeight="1">
      <c r="A676" s="2" t="s">
        <v>1741</v>
      </c>
      <c r="B676" s="3">
        <v>45990.0</v>
      </c>
      <c r="C676" s="2" t="s">
        <v>1742</v>
      </c>
      <c r="D676" s="2" t="s">
        <v>686</v>
      </c>
      <c r="E676" s="2">
        <v>43.0</v>
      </c>
      <c r="F676" s="2" t="s">
        <v>29</v>
      </c>
      <c r="G676" s="2" t="s">
        <v>1625</v>
      </c>
      <c r="H676" s="2" t="s">
        <v>74</v>
      </c>
      <c r="I676" s="2" t="s">
        <v>45</v>
      </c>
      <c r="J676" s="2">
        <v>9.0</v>
      </c>
      <c r="K676" s="4">
        <v>24864.11</v>
      </c>
      <c r="L676" s="5">
        <v>223776.99</v>
      </c>
      <c r="N676" s="2" t="str">
        <f>IF(Table1[Quantity] &gt; 2, "Bulk Order", "Standard Order")</f>
        <v>Bulk Order</v>
      </c>
    </row>
    <row r="677" ht="15.75" customHeight="1">
      <c r="A677" s="2" t="s">
        <v>1743</v>
      </c>
      <c r="B677" s="3">
        <v>45862.0</v>
      </c>
      <c r="C677" s="2" t="s">
        <v>1744</v>
      </c>
      <c r="D677" s="2" t="s">
        <v>1596</v>
      </c>
      <c r="E677" s="2">
        <v>22.0</v>
      </c>
      <c r="F677" s="2" t="s">
        <v>37</v>
      </c>
      <c r="G677" s="2" t="s">
        <v>1625</v>
      </c>
      <c r="H677" s="2" t="s">
        <v>74</v>
      </c>
      <c r="I677" s="2" t="s">
        <v>45</v>
      </c>
      <c r="J677" s="2">
        <v>7.0</v>
      </c>
      <c r="K677" s="4">
        <v>33771.26</v>
      </c>
      <c r="L677" s="5">
        <v>236398.82</v>
      </c>
      <c r="N677" s="2" t="str">
        <f>IF(Table1[Quantity] &gt; 2, "Bulk Order", "Standard Order")</f>
        <v>Bulk Order</v>
      </c>
    </row>
    <row r="678" ht="15.75" customHeight="1">
      <c r="A678" s="2" t="s">
        <v>1745</v>
      </c>
      <c r="B678" s="3">
        <v>45879.0</v>
      </c>
      <c r="C678" s="2" t="s">
        <v>1746</v>
      </c>
      <c r="D678" s="2" t="s">
        <v>797</v>
      </c>
      <c r="E678" s="2">
        <v>21.0</v>
      </c>
      <c r="F678" s="2" t="s">
        <v>29</v>
      </c>
      <c r="G678" s="2" t="s">
        <v>1625</v>
      </c>
      <c r="H678" s="2" t="s">
        <v>74</v>
      </c>
      <c r="I678" s="2" t="s">
        <v>45</v>
      </c>
      <c r="J678" s="2">
        <v>1.0</v>
      </c>
      <c r="K678" s="4">
        <v>47927.36</v>
      </c>
      <c r="L678" s="5">
        <v>47927.36</v>
      </c>
      <c r="N678" s="2" t="str">
        <f>IF(Table1[Quantity] &gt; 2, "Bulk Order", "Standard Order")</f>
        <v>Standard Order</v>
      </c>
    </row>
    <row r="679" ht="15.75" customHeight="1">
      <c r="A679" s="2" t="s">
        <v>1747</v>
      </c>
      <c r="B679" s="3">
        <v>45711.0</v>
      </c>
      <c r="C679" s="2" t="s">
        <v>1748</v>
      </c>
      <c r="D679" s="2" t="s">
        <v>1107</v>
      </c>
      <c r="E679" s="2">
        <v>21.0</v>
      </c>
      <c r="F679" s="2" t="s">
        <v>37</v>
      </c>
      <c r="G679" s="2" t="s">
        <v>1625</v>
      </c>
      <c r="H679" s="2" t="s">
        <v>31</v>
      </c>
      <c r="I679" s="2" t="s">
        <v>32</v>
      </c>
      <c r="J679" s="2">
        <v>10.0</v>
      </c>
      <c r="K679" s="4">
        <v>27530.02</v>
      </c>
      <c r="L679" s="5">
        <v>275300.2</v>
      </c>
      <c r="N679" s="2" t="str">
        <f>IF(Table1[Quantity] &gt; 2, "Bulk Order", "Standard Order")</f>
        <v>Bulk Order</v>
      </c>
    </row>
    <row r="680" ht="15.75" customHeight="1">
      <c r="A680" s="2" t="s">
        <v>1749</v>
      </c>
      <c r="B680" s="3">
        <v>45999.0</v>
      </c>
      <c r="C680" s="2" t="s">
        <v>1750</v>
      </c>
      <c r="D680" s="2" t="s">
        <v>648</v>
      </c>
      <c r="E680" s="2">
        <v>57.0</v>
      </c>
      <c r="F680" s="2" t="s">
        <v>29</v>
      </c>
      <c r="G680" s="2" t="s">
        <v>1625</v>
      </c>
      <c r="H680" s="2" t="s">
        <v>60</v>
      </c>
      <c r="I680" s="2" t="s">
        <v>43</v>
      </c>
      <c r="J680" s="2">
        <v>2.0</v>
      </c>
      <c r="K680" s="4">
        <v>24291.74</v>
      </c>
      <c r="L680" s="5">
        <v>48583.48</v>
      </c>
      <c r="N680" s="2" t="str">
        <f>IF(Table1[Quantity] &gt; 2, "Bulk Order", "Standard Order")</f>
        <v>Standard Order</v>
      </c>
    </row>
    <row r="681" ht="15.75" customHeight="1">
      <c r="A681" s="2" t="s">
        <v>1751</v>
      </c>
      <c r="B681" s="3">
        <v>45939.0</v>
      </c>
      <c r="C681" s="2" t="s">
        <v>1752</v>
      </c>
      <c r="D681" s="2" t="s">
        <v>1753</v>
      </c>
      <c r="E681" s="2">
        <v>46.0</v>
      </c>
      <c r="F681" s="2" t="s">
        <v>37</v>
      </c>
      <c r="G681" s="2" t="s">
        <v>1625</v>
      </c>
      <c r="H681" s="2" t="s">
        <v>74</v>
      </c>
      <c r="I681" s="2" t="s">
        <v>45</v>
      </c>
      <c r="J681" s="2">
        <v>2.0</v>
      </c>
      <c r="K681" s="4">
        <v>747.57</v>
      </c>
      <c r="L681" s="5">
        <v>1495.14</v>
      </c>
      <c r="N681" s="2" t="str">
        <f>IF(Table1[Quantity] &gt; 2, "Bulk Order", "Standard Order")</f>
        <v>Standard Order</v>
      </c>
    </row>
    <row r="682" ht="15.75" customHeight="1">
      <c r="A682" s="2" t="s">
        <v>1754</v>
      </c>
      <c r="B682" s="3">
        <v>45826.0</v>
      </c>
      <c r="C682" s="2" t="s">
        <v>1755</v>
      </c>
      <c r="D682" s="2" t="s">
        <v>1756</v>
      </c>
      <c r="E682" s="2">
        <v>30.0</v>
      </c>
      <c r="F682" s="2" t="s">
        <v>29</v>
      </c>
      <c r="G682" s="2" t="s">
        <v>1625</v>
      </c>
      <c r="H682" s="2" t="s">
        <v>56</v>
      </c>
      <c r="I682" s="2" t="s">
        <v>43</v>
      </c>
      <c r="J682" s="2">
        <v>10.0</v>
      </c>
      <c r="K682" s="4">
        <v>10702.89</v>
      </c>
      <c r="L682" s="5">
        <v>107028.9</v>
      </c>
      <c r="N682" s="2" t="str">
        <f>IF(Table1[Quantity] &gt; 2, "Bulk Order", "Standard Order")</f>
        <v>Bulk Order</v>
      </c>
    </row>
    <row r="683" ht="15.75" customHeight="1">
      <c r="A683" s="2" t="s">
        <v>1757</v>
      </c>
      <c r="B683" s="3">
        <v>45724.0</v>
      </c>
      <c r="C683" s="2" t="s">
        <v>1758</v>
      </c>
      <c r="D683" s="2" t="s">
        <v>849</v>
      </c>
      <c r="E683" s="2">
        <v>47.0</v>
      </c>
      <c r="F683" s="2" t="s">
        <v>29</v>
      </c>
      <c r="G683" s="2" t="s">
        <v>1625</v>
      </c>
      <c r="H683" s="2" t="s">
        <v>60</v>
      </c>
      <c r="I683" s="2" t="s">
        <v>43</v>
      </c>
      <c r="J683" s="2">
        <v>3.0</v>
      </c>
      <c r="K683" s="4">
        <v>7991.06</v>
      </c>
      <c r="L683" s="5">
        <v>23973.18</v>
      </c>
      <c r="N683" s="2" t="str">
        <f>IF(Table1[Quantity] &gt; 2, "Bulk Order", "Standard Order")</f>
        <v>Bulk Order</v>
      </c>
    </row>
    <row r="684" ht="15.75" customHeight="1">
      <c r="A684" s="2" t="s">
        <v>1759</v>
      </c>
      <c r="B684" s="3">
        <v>45768.0</v>
      </c>
      <c r="C684" s="2" t="s">
        <v>1760</v>
      </c>
      <c r="D684" s="2" t="s">
        <v>849</v>
      </c>
      <c r="E684" s="2">
        <v>58.0</v>
      </c>
      <c r="F684" s="2" t="s">
        <v>29</v>
      </c>
      <c r="G684" s="2" t="s">
        <v>1625</v>
      </c>
      <c r="H684" s="2" t="s">
        <v>60</v>
      </c>
      <c r="I684" s="2" t="s">
        <v>43</v>
      </c>
      <c r="J684" s="2">
        <v>10.0</v>
      </c>
      <c r="K684" s="4">
        <v>7062.57</v>
      </c>
      <c r="L684" s="5">
        <v>70625.7</v>
      </c>
      <c r="N684" s="2" t="str">
        <f>IF(Table1[Quantity] &gt; 2, "Bulk Order", "Standard Order")</f>
        <v>Bulk Order</v>
      </c>
    </row>
    <row r="685" ht="15.75" customHeight="1">
      <c r="A685" s="2" t="s">
        <v>1761</v>
      </c>
      <c r="B685" s="3">
        <v>45959.0</v>
      </c>
      <c r="C685" s="2" t="s">
        <v>1762</v>
      </c>
      <c r="D685" s="2" t="s">
        <v>345</v>
      </c>
      <c r="E685" s="2">
        <v>24.0</v>
      </c>
      <c r="F685" s="2" t="s">
        <v>29</v>
      </c>
      <c r="G685" s="2" t="s">
        <v>1625</v>
      </c>
      <c r="H685" s="2" t="s">
        <v>74</v>
      </c>
      <c r="I685" s="2" t="s">
        <v>45</v>
      </c>
      <c r="J685" s="2">
        <v>7.0</v>
      </c>
      <c r="K685" s="4">
        <v>49735.32</v>
      </c>
      <c r="L685" s="5">
        <v>348147.24</v>
      </c>
      <c r="N685" s="2" t="str">
        <f>IF(Table1[Quantity] &gt; 2, "Bulk Order", "Standard Order")</f>
        <v>Bulk Order</v>
      </c>
    </row>
    <row r="686" ht="15.75" customHeight="1">
      <c r="A686" s="2" t="s">
        <v>1763</v>
      </c>
      <c r="B686" s="3">
        <v>45954.0</v>
      </c>
      <c r="C686" s="2" t="s">
        <v>1764</v>
      </c>
      <c r="D686" s="2" t="s">
        <v>1543</v>
      </c>
      <c r="E686" s="2">
        <v>50.0</v>
      </c>
      <c r="F686" s="2" t="s">
        <v>29</v>
      </c>
      <c r="G686" s="2" t="s">
        <v>1625</v>
      </c>
      <c r="H686" s="2" t="s">
        <v>64</v>
      </c>
      <c r="I686" s="2" t="s">
        <v>44</v>
      </c>
      <c r="J686" s="2">
        <v>4.0</v>
      </c>
      <c r="K686" s="4">
        <v>25461.32</v>
      </c>
      <c r="L686" s="5">
        <v>101845.28</v>
      </c>
      <c r="N686" s="2" t="str">
        <f>IF(Table1[Quantity] &gt; 2, "Bulk Order", "Standard Order")</f>
        <v>Bulk Order</v>
      </c>
    </row>
    <row r="687" ht="15.75" customHeight="1">
      <c r="A687" s="2" t="s">
        <v>1765</v>
      </c>
      <c r="B687" s="3">
        <v>45786.0</v>
      </c>
      <c r="C687" s="2" t="s">
        <v>1766</v>
      </c>
      <c r="D687" s="2" t="s">
        <v>1272</v>
      </c>
      <c r="E687" s="2">
        <v>34.0</v>
      </c>
      <c r="F687" s="2" t="s">
        <v>37</v>
      </c>
      <c r="G687" s="2" t="s">
        <v>1625</v>
      </c>
      <c r="H687" s="2" t="s">
        <v>64</v>
      </c>
      <c r="I687" s="2" t="s">
        <v>44</v>
      </c>
      <c r="J687" s="2">
        <v>6.0</v>
      </c>
      <c r="K687" s="4">
        <v>16403.01</v>
      </c>
      <c r="L687" s="5">
        <v>98418.06</v>
      </c>
      <c r="N687" s="2" t="str">
        <f>IF(Table1[Quantity] &gt; 2, "Bulk Order", "Standard Order")</f>
        <v>Bulk Order</v>
      </c>
    </row>
    <row r="688" ht="15.75" customHeight="1">
      <c r="A688" s="2" t="s">
        <v>1767</v>
      </c>
      <c r="B688" s="3">
        <v>45702.0</v>
      </c>
      <c r="C688" s="2" t="s">
        <v>1768</v>
      </c>
      <c r="D688" s="2" t="s">
        <v>1769</v>
      </c>
      <c r="E688" s="2">
        <v>54.0</v>
      </c>
      <c r="F688" s="2" t="s">
        <v>37</v>
      </c>
      <c r="G688" s="2" t="s">
        <v>1625</v>
      </c>
      <c r="H688" s="2" t="s">
        <v>56</v>
      </c>
      <c r="I688" s="2" t="s">
        <v>43</v>
      </c>
      <c r="J688" s="2">
        <v>2.0</v>
      </c>
      <c r="K688" s="4">
        <v>22666.98</v>
      </c>
      <c r="L688" s="5">
        <v>45333.96</v>
      </c>
      <c r="N688" s="2" t="str">
        <f>IF(Table1[Quantity] &gt; 2, "Bulk Order", "Standard Order")</f>
        <v>Standard Order</v>
      </c>
    </row>
    <row r="689" ht="15.75" customHeight="1">
      <c r="A689" s="2" t="s">
        <v>1770</v>
      </c>
      <c r="B689" s="3">
        <v>45908.0</v>
      </c>
      <c r="C689" s="2" t="s">
        <v>1771</v>
      </c>
      <c r="D689" s="2" t="s">
        <v>461</v>
      </c>
      <c r="E689" s="2">
        <v>26.0</v>
      </c>
      <c r="F689" s="2" t="s">
        <v>37</v>
      </c>
      <c r="G689" s="2" t="s">
        <v>1625</v>
      </c>
      <c r="H689" s="2" t="s">
        <v>42</v>
      </c>
      <c r="I689" s="2" t="s">
        <v>41</v>
      </c>
      <c r="J689" s="2">
        <v>6.0</v>
      </c>
      <c r="K689" s="4">
        <v>8151.02</v>
      </c>
      <c r="L689" s="5">
        <v>48906.12</v>
      </c>
      <c r="N689" s="2" t="str">
        <f>IF(Table1[Quantity] &gt; 2, "Bulk Order", "Standard Order")</f>
        <v>Bulk Order</v>
      </c>
    </row>
    <row r="690" ht="15.75" customHeight="1">
      <c r="A690" s="2" t="s">
        <v>1772</v>
      </c>
      <c r="B690" s="3">
        <v>45854.0</v>
      </c>
      <c r="C690" s="2" t="s">
        <v>1773</v>
      </c>
      <c r="D690" s="2" t="s">
        <v>322</v>
      </c>
      <c r="E690" s="2">
        <v>35.0</v>
      </c>
      <c r="F690" s="2" t="s">
        <v>29</v>
      </c>
      <c r="G690" s="2" t="s">
        <v>1625</v>
      </c>
      <c r="H690" s="2" t="s">
        <v>56</v>
      </c>
      <c r="I690" s="2" t="s">
        <v>43</v>
      </c>
      <c r="J690" s="2">
        <v>5.0</v>
      </c>
      <c r="K690" s="4">
        <v>25036.53</v>
      </c>
      <c r="L690" s="5">
        <v>125182.65</v>
      </c>
      <c r="N690" s="2" t="str">
        <f>IF(Table1[Quantity] &gt; 2, "Bulk Order", "Standard Order")</f>
        <v>Bulk Order</v>
      </c>
    </row>
    <row r="691" ht="15.75" customHeight="1">
      <c r="A691" s="2" t="s">
        <v>1774</v>
      </c>
      <c r="B691" s="3">
        <v>45687.0</v>
      </c>
      <c r="C691" s="2" t="s">
        <v>1424</v>
      </c>
      <c r="D691" s="2" t="s">
        <v>1021</v>
      </c>
      <c r="E691" s="2">
        <v>37.0</v>
      </c>
      <c r="F691" s="2" t="s">
        <v>29</v>
      </c>
      <c r="G691" s="2" t="s">
        <v>1625</v>
      </c>
      <c r="H691" s="2" t="s">
        <v>74</v>
      </c>
      <c r="I691" s="2" t="s">
        <v>45</v>
      </c>
      <c r="J691" s="2">
        <v>6.0</v>
      </c>
      <c r="K691" s="4">
        <v>30698.79</v>
      </c>
      <c r="L691" s="5">
        <v>184192.74</v>
      </c>
      <c r="N691" s="2" t="str">
        <f>IF(Table1[Quantity] &gt; 2, "Bulk Order", "Standard Order")</f>
        <v>Bulk Order</v>
      </c>
    </row>
    <row r="692" ht="15.75" customHeight="1">
      <c r="A692" s="2" t="s">
        <v>1775</v>
      </c>
      <c r="B692" s="3">
        <v>45820.0</v>
      </c>
      <c r="C692" s="2" t="s">
        <v>1776</v>
      </c>
      <c r="D692" s="2" t="s">
        <v>999</v>
      </c>
      <c r="E692" s="2">
        <v>28.0</v>
      </c>
      <c r="F692" s="2" t="s">
        <v>37</v>
      </c>
      <c r="G692" s="2" t="s">
        <v>1625</v>
      </c>
      <c r="H692" s="2" t="s">
        <v>31</v>
      </c>
      <c r="I692" s="2" t="s">
        <v>32</v>
      </c>
      <c r="J692" s="2">
        <v>6.0</v>
      </c>
      <c r="K692" s="4">
        <v>9146.39</v>
      </c>
      <c r="L692" s="5">
        <v>54878.34</v>
      </c>
      <c r="N692" s="2" t="str">
        <f>IF(Table1[Quantity] &gt; 2, "Bulk Order", "Standard Order")</f>
        <v>Bulk Order</v>
      </c>
    </row>
    <row r="693" ht="15.75" customHeight="1">
      <c r="A693" s="2" t="s">
        <v>1777</v>
      </c>
      <c r="B693" s="3">
        <v>45712.0</v>
      </c>
      <c r="C693" s="2" t="s">
        <v>1778</v>
      </c>
      <c r="D693" s="2" t="s">
        <v>175</v>
      </c>
      <c r="E693" s="2">
        <v>31.0</v>
      </c>
      <c r="F693" s="2" t="s">
        <v>37</v>
      </c>
      <c r="G693" s="2" t="s">
        <v>1625</v>
      </c>
      <c r="H693" s="2" t="s">
        <v>56</v>
      </c>
      <c r="I693" s="2" t="s">
        <v>43</v>
      </c>
      <c r="J693" s="2">
        <v>7.0</v>
      </c>
      <c r="K693" s="4">
        <v>33006.89</v>
      </c>
      <c r="L693" s="5">
        <v>231048.23</v>
      </c>
      <c r="N693" s="2" t="str">
        <f>IF(Table1[Quantity] &gt; 2, "Bulk Order", "Standard Order")</f>
        <v>Bulk Order</v>
      </c>
    </row>
    <row r="694" ht="15.75" customHeight="1">
      <c r="A694" s="2" t="s">
        <v>1779</v>
      </c>
      <c r="B694" s="3">
        <v>45841.0</v>
      </c>
      <c r="C694" s="2" t="s">
        <v>1780</v>
      </c>
      <c r="D694" s="2" t="s">
        <v>169</v>
      </c>
      <c r="E694" s="2">
        <v>35.0</v>
      </c>
      <c r="F694" s="2" t="s">
        <v>37</v>
      </c>
      <c r="G694" s="2" t="s">
        <v>1625</v>
      </c>
      <c r="H694" s="2" t="s">
        <v>56</v>
      </c>
      <c r="I694" s="2" t="s">
        <v>43</v>
      </c>
      <c r="J694" s="2">
        <v>9.0</v>
      </c>
      <c r="K694" s="4">
        <v>37614.58</v>
      </c>
      <c r="L694" s="5">
        <v>338531.22</v>
      </c>
      <c r="N694" s="2" t="str">
        <f>IF(Table1[Quantity] &gt; 2, "Bulk Order", "Standard Order")</f>
        <v>Bulk Order</v>
      </c>
    </row>
    <row r="695" ht="15.75" customHeight="1">
      <c r="A695" s="2" t="s">
        <v>1781</v>
      </c>
      <c r="B695" s="3">
        <v>45677.0</v>
      </c>
      <c r="C695" s="2" t="s">
        <v>1782</v>
      </c>
      <c r="D695" s="2" t="s">
        <v>1032</v>
      </c>
      <c r="E695" s="2">
        <v>60.0</v>
      </c>
      <c r="F695" s="2" t="s">
        <v>29</v>
      </c>
      <c r="G695" s="2" t="s">
        <v>1625</v>
      </c>
      <c r="H695" s="2" t="s">
        <v>56</v>
      </c>
      <c r="I695" s="2" t="s">
        <v>43</v>
      </c>
      <c r="J695" s="2">
        <v>10.0</v>
      </c>
      <c r="K695" s="4">
        <v>21547.89</v>
      </c>
      <c r="L695" s="5">
        <v>215478.9</v>
      </c>
      <c r="N695" s="2" t="str">
        <f>IF(Table1[Quantity] &gt; 2, "Bulk Order", "Standard Order")</f>
        <v>Bulk Order</v>
      </c>
    </row>
    <row r="696" ht="15.75" customHeight="1">
      <c r="A696" s="2" t="s">
        <v>1783</v>
      </c>
      <c r="B696" s="3">
        <v>45924.0</v>
      </c>
      <c r="C696" s="2" t="s">
        <v>1784</v>
      </c>
      <c r="D696" s="2" t="s">
        <v>627</v>
      </c>
      <c r="E696" s="2">
        <v>40.0</v>
      </c>
      <c r="F696" s="2" t="s">
        <v>37</v>
      </c>
      <c r="G696" s="2" t="s">
        <v>1625</v>
      </c>
      <c r="H696" s="2" t="s">
        <v>42</v>
      </c>
      <c r="I696" s="2" t="s">
        <v>41</v>
      </c>
      <c r="J696" s="2">
        <v>5.0</v>
      </c>
      <c r="K696" s="4">
        <v>19565.23</v>
      </c>
      <c r="L696" s="5">
        <v>97826.15</v>
      </c>
      <c r="N696" s="2" t="str">
        <f>IF(Table1[Quantity] &gt; 2, "Bulk Order", "Standard Order")</f>
        <v>Bulk Order</v>
      </c>
    </row>
    <row r="697" ht="15.75" customHeight="1">
      <c r="A697" s="2" t="s">
        <v>1785</v>
      </c>
      <c r="B697" s="3">
        <v>46010.0</v>
      </c>
      <c r="C697" s="2" t="s">
        <v>1786</v>
      </c>
      <c r="D697" s="2" t="s">
        <v>658</v>
      </c>
      <c r="E697" s="2">
        <v>44.0</v>
      </c>
      <c r="F697" s="2" t="s">
        <v>29</v>
      </c>
      <c r="G697" s="2" t="s">
        <v>1625</v>
      </c>
      <c r="H697" s="2" t="s">
        <v>60</v>
      </c>
      <c r="I697" s="2" t="s">
        <v>43</v>
      </c>
      <c r="J697" s="2">
        <v>1.0</v>
      </c>
      <c r="K697" s="4">
        <v>18229.0</v>
      </c>
      <c r="L697" s="5">
        <v>18229.0</v>
      </c>
      <c r="N697" s="2" t="str">
        <f>IF(Table1[Quantity] &gt; 2, "Bulk Order", "Standard Order")</f>
        <v>Standard Order</v>
      </c>
    </row>
    <row r="698" ht="15.75" customHeight="1">
      <c r="A698" s="2" t="s">
        <v>1787</v>
      </c>
      <c r="B698" s="3">
        <v>45877.0</v>
      </c>
      <c r="C698" s="2" t="s">
        <v>1788</v>
      </c>
      <c r="D698" s="2" t="s">
        <v>1789</v>
      </c>
      <c r="E698" s="2">
        <v>51.0</v>
      </c>
      <c r="F698" s="2" t="s">
        <v>37</v>
      </c>
      <c r="G698" s="2" t="s">
        <v>1625</v>
      </c>
      <c r="H698" s="2" t="s">
        <v>56</v>
      </c>
      <c r="I698" s="2" t="s">
        <v>43</v>
      </c>
      <c r="J698" s="2">
        <v>3.0</v>
      </c>
      <c r="K698" s="4">
        <v>1286.36</v>
      </c>
      <c r="L698" s="5">
        <v>3859.08</v>
      </c>
      <c r="N698" s="2" t="str">
        <f>IF(Table1[Quantity] &gt; 2, "Bulk Order", "Standard Order")</f>
        <v>Bulk Order</v>
      </c>
    </row>
    <row r="699" ht="15.75" customHeight="1">
      <c r="A699" s="2" t="s">
        <v>1790</v>
      </c>
      <c r="B699" s="3">
        <v>45875.0</v>
      </c>
      <c r="C699" s="2" t="s">
        <v>1791</v>
      </c>
      <c r="D699" s="2" t="s">
        <v>1792</v>
      </c>
      <c r="E699" s="2">
        <v>49.0</v>
      </c>
      <c r="F699" s="2" t="s">
        <v>29</v>
      </c>
      <c r="G699" s="2" t="s">
        <v>1625</v>
      </c>
      <c r="H699" s="2" t="s">
        <v>64</v>
      </c>
      <c r="I699" s="2" t="s">
        <v>44</v>
      </c>
      <c r="J699" s="2">
        <v>2.0</v>
      </c>
      <c r="K699" s="4">
        <v>11967.47</v>
      </c>
      <c r="L699" s="5">
        <v>23934.94</v>
      </c>
      <c r="N699" s="2" t="str">
        <f>IF(Table1[Quantity] &gt; 2, "Bulk Order", "Standard Order")</f>
        <v>Standard Order</v>
      </c>
    </row>
    <row r="700" ht="15.75" customHeight="1">
      <c r="A700" s="2" t="s">
        <v>1793</v>
      </c>
      <c r="B700" s="3">
        <v>45783.0</v>
      </c>
      <c r="C700" s="2" t="s">
        <v>1794</v>
      </c>
      <c r="D700" s="2" t="s">
        <v>1045</v>
      </c>
      <c r="E700" s="2">
        <v>52.0</v>
      </c>
      <c r="F700" s="2" t="s">
        <v>37</v>
      </c>
      <c r="G700" s="2" t="s">
        <v>1625</v>
      </c>
      <c r="H700" s="2" t="s">
        <v>56</v>
      </c>
      <c r="I700" s="2" t="s">
        <v>43</v>
      </c>
      <c r="J700" s="2">
        <v>9.0</v>
      </c>
      <c r="K700" s="4">
        <v>697.87</v>
      </c>
      <c r="L700" s="5">
        <v>6280.83</v>
      </c>
      <c r="N700" s="2" t="str">
        <f>IF(Table1[Quantity] &gt; 2, "Bulk Order", "Standard Order")</f>
        <v>Bulk Order</v>
      </c>
    </row>
    <row r="701" ht="15.75" customHeight="1">
      <c r="A701" s="2" t="s">
        <v>1795</v>
      </c>
      <c r="B701" s="3">
        <v>45951.0</v>
      </c>
      <c r="C701" s="2" t="s">
        <v>1796</v>
      </c>
      <c r="D701" s="2" t="s">
        <v>755</v>
      </c>
      <c r="E701" s="2">
        <v>27.0</v>
      </c>
      <c r="F701" s="2" t="s">
        <v>29</v>
      </c>
      <c r="G701" s="2" t="s">
        <v>1625</v>
      </c>
      <c r="H701" s="2" t="s">
        <v>31</v>
      </c>
      <c r="I701" s="2" t="s">
        <v>32</v>
      </c>
      <c r="J701" s="2">
        <v>6.0</v>
      </c>
      <c r="K701" s="4">
        <v>45095.75</v>
      </c>
      <c r="L701" s="5">
        <v>270574.5</v>
      </c>
      <c r="N701" s="2" t="str">
        <f>IF(Table1[Quantity] &gt; 2, "Bulk Order", "Standard Order")</f>
        <v>Bulk Order</v>
      </c>
    </row>
    <row r="702" ht="15.75" customHeight="1">
      <c r="A702" s="2" t="s">
        <v>1797</v>
      </c>
      <c r="B702" s="3">
        <v>45809.0</v>
      </c>
      <c r="C702" s="2" t="s">
        <v>1798</v>
      </c>
      <c r="D702" s="2" t="s">
        <v>1799</v>
      </c>
      <c r="E702" s="2">
        <v>23.0</v>
      </c>
      <c r="F702" s="2" t="s">
        <v>37</v>
      </c>
      <c r="G702" s="2" t="s">
        <v>1625</v>
      </c>
      <c r="H702" s="2" t="s">
        <v>42</v>
      </c>
      <c r="I702" s="2" t="s">
        <v>41</v>
      </c>
      <c r="J702" s="2">
        <v>4.0</v>
      </c>
      <c r="K702" s="4">
        <v>27448.01</v>
      </c>
      <c r="L702" s="5">
        <v>109792.04</v>
      </c>
      <c r="N702" s="2" t="str">
        <f>IF(Table1[Quantity] &gt; 2, "Bulk Order", "Standard Order")</f>
        <v>Bulk Order</v>
      </c>
    </row>
    <row r="703" ht="15.75" customHeight="1">
      <c r="A703" s="2" t="s">
        <v>1800</v>
      </c>
      <c r="B703" s="3">
        <v>45827.0</v>
      </c>
      <c r="C703" s="2" t="s">
        <v>788</v>
      </c>
      <c r="D703" s="2" t="s">
        <v>421</v>
      </c>
      <c r="E703" s="2">
        <v>46.0</v>
      </c>
      <c r="F703" s="2" t="s">
        <v>37</v>
      </c>
      <c r="G703" s="2" t="s">
        <v>1625</v>
      </c>
      <c r="H703" s="2" t="s">
        <v>60</v>
      </c>
      <c r="I703" s="2" t="s">
        <v>43</v>
      </c>
      <c r="J703" s="2">
        <v>9.0</v>
      </c>
      <c r="K703" s="4">
        <v>27971.17</v>
      </c>
      <c r="L703" s="5">
        <v>251740.53</v>
      </c>
      <c r="N703" s="2" t="str">
        <f>IF(Table1[Quantity] &gt; 2, "Bulk Order", "Standard Order")</f>
        <v>Bulk Order</v>
      </c>
    </row>
    <row r="704" ht="15.75" customHeight="1">
      <c r="A704" s="2" t="s">
        <v>1801</v>
      </c>
      <c r="B704" s="3">
        <v>45793.0</v>
      </c>
      <c r="C704" s="2" t="s">
        <v>1802</v>
      </c>
      <c r="D704" s="2" t="s">
        <v>526</v>
      </c>
      <c r="E704" s="2">
        <v>62.0</v>
      </c>
      <c r="F704" s="2" t="s">
        <v>37</v>
      </c>
      <c r="G704" s="2" t="s">
        <v>1625</v>
      </c>
      <c r="H704" s="2" t="s">
        <v>42</v>
      </c>
      <c r="I704" s="2" t="s">
        <v>41</v>
      </c>
      <c r="J704" s="2">
        <v>1.0</v>
      </c>
      <c r="K704" s="4">
        <v>46021.88</v>
      </c>
      <c r="L704" s="5">
        <v>46021.88</v>
      </c>
      <c r="N704" s="2" t="str">
        <f>IF(Table1[Quantity] &gt; 2, "Bulk Order", "Standard Order")</f>
        <v>Standard Order</v>
      </c>
    </row>
    <row r="705" ht="15.75" customHeight="1">
      <c r="A705" s="2" t="s">
        <v>1803</v>
      </c>
      <c r="B705" s="3">
        <v>45949.0</v>
      </c>
      <c r="C705" s="2" t="s">
        <v>1804</v>
      </c>
      <c r="D705" s="2" t="s">
        <v>95</v>
      </c>
      <c r="E705" s="2">
        <v>28.0</v>
      </c>
      <c r="F705" s="2" t="s">
        <v>29</v>
      </c>
      <c r="G705" s="2" t="s">
        <v>1625</v>
      </c>
      <c r="H705" s="2" t="s">
        <v>31</v>
      </c>
      <c r="I705" s="2" t="s">
        <v>32</v>
      </c>
      <c r="J705" s="2">
        <v>1.0</v>
      </c>
      <c r="K705" s="4">
        <v>20626.25</v>
      </c>
      <c r="L705" s="5">
        <v>20626.25</v>
      </c>
      <c r="N705" s="2" t="str">
        <f>IF(Table1[Quantity] &gt; 2, "Bulk Order", "Standard Order")</f>
        <v>Standard Order</v>
      </c>
    </row>
    <row r="706" ht="15.75" customHeight="1">
      <c r="A706" s="2" t="s">
        <v>1805</v>
      </c>
      <c r="B706" s="3">
        <v>45789.0</v>
      </c>
      <c r="C706" s="2" t="s">
        <v>1321</v>
      </c>
      <c r="D706" s="2" t="s">
        <v>781</v>
      </c>
      <c r="E706" s="2">
        <v>63.0</v>
      </c>
      <c r="F706" s="2" t="s">
        <v>29</v>
      </c>
      <c r="G706" s="2" t="s">
        <v>1625</v>
      </c>
      <c r="H706" s="2" t="s">
        <v>60</v>
      </c>
      <c r="I706" s="2" t="s">
        <v>43</v>
      </c>
      <c r="J706" s="2">
        <v>9.0</v>
      </c>
      <c r="K706" s="4">
        <v>39545.61</v>
      </c>
      <c r="L706" s="5">
        <v>355910.49</v>
      </c>
      <c r="N706" s="2" t="str">
        <f>IF(Table1[Quantity] &gt; 2, "Bulk Order", "Standard Order")</f>
        <v>Bulk Order</v>
      </c>
    </row>
    <row r="707" ht="15.75" customHeight="1">
      <c r="A707" s="2" t="s">
        <v>1806</v>
      </c>
      <c r="B707" s="3">
        <v>45711.0</v>
      </c>
      <c r="C707" s="2" t="s">
        <v>1807</v>
      </c>
      <c r="D707" s="2" t="s">
        <v>395</v>
      </c>
      <c r="E707" s="2">
        <v>39.0</v>
      </c>
      <c r="F707" s="2" t="s">
        <v>37</v>
      </c>
      <c r="G707" s="2" t="s">
        <v>1625</v>
      </c>
      <c r="H707" s="2" t="s">
        <v>74</v>
      </c>
      <c r="I707" s="2" t="s">
        <v>45</v>
      </c>
      <c r="J707" s="2">
        <v>8.0</v>
      </c>
      <c r="K707" s="4">
        <v>16240.66</v>
      </c>
      <c r="L707" s="5">
        <v>129925.28</v>
      </c>
      <c r="N707" s="2" t="str">
        <f>IF(Table1[Quantity] &gt; 2, "Bulk Order", "Standard Order")</f>
        <v>Bulk Order</v>
      </c>
    </row>
    <row r="708" ht="15.75" customHeight="1">
      <c r="A708" s="2" t="s">
        <v>1808</v>
      </c>
      <c r="B708" s="3">
        <v>45670.0</v>
      </c>
      <c r="C708" s="2" t="s">
        <v>1809</v>
      </c>
      <c r="D708" s="2" t="s">
        <v>313</v>
      </c>
      <c r="E708" s="2">
        <v>20.0</v>
      </c>
      <c r="F708" s="2" t="s">
        <v>37</v>
      </c>
      <c r="G708" s="2" t="s">
        <v>1625</v>
      </c>
      <c r="H708" s="2" t="s">
        <v>42</v>
      </c>
      <c r="I708" s="2" t="s">
        <v>41</v>
      </c>
      <c r="J708" s="2">
        <v>2.0</v>
      </c>
      <c r="K708" s="4">
        <v>38065.84</v>
      </c>
      <c r="L708" s="5">
        <v>76131.68</v>
      </c>
      <c r="N708" s="2" t="str">
        <f>IF(Table1[Quantity] &gt; 2, "Bulk Order", "Standard Order")</f>
        <v>Standard Order</v>
      </c>
    </row>
    <row r="709" ht="15.75" customHeight="1">
      <c r="A709" s="2" t="s">
        <v>1810</v>
      </c>
      <c r="B709" s="3">
        <v>45718.0</v>
      </c>
      <c r="C709" s="2" t="s">
        <v>1811</v>
      </c>
      <c r="D709" s="2" t="s">
        <v>1197</v>
      </c>
      <c r="E709" s="2">
        <v>39.0</v>
      </c>
      <c r="F709" s="2" t="s">
        <v>37</v>
      </c>
      <c r="G709" s="2" t="s">
        <v>1625</v>
      </c>
      <c r="H709" s="2" t="s">
        <v>60</v>
      </c>
      <c r="I709" s="2" t="s">
        <v>43</v>
      </c>
      <c r="J709" s="2">
        <v>6.0</v>
      </c>
      <c r="K709" s="4">
        <v>38368.41</v>
      </c>
      <c r="L709" s="5">
        <v>230210.46</v>
      </c>
      <c r="N709" s="2" t="str">
        <f>IF(Table1[Quantity] &gt; 2, "Bulk Order", "Standard Order")</f>
        <v>Bulk Order</v>
      </c>
    </row>
    <row r="710" ht="15.75" customHeight="1">
      <c r="A710" s="2" t="s">
        <v>1812</v>
      </c>
      <c r="B710" s="3">
        <v>45995.0</v>
      </c>
      <c r="C710" s="2" t="s">
        <v>1813</v>
      </c>
      <c r="D710" s="2" t="s">
        <v>339</v>
      </c>
      <c r="E710" s="2">
        <v>47.0</v>
      </c>
      <c r="F710" s="2" t="s">
        <v>29</v>
      </c>
      <c r="G710" s="2" t="s">
        <v>1625</v>
      </c>
      <c r="H710" s="2" t="s">
        <v>64</v>
      </c>
      <c r="I710" s="2" t="s">
        <v>44</v>
      </c>
      <c r="J710" s="2">
        <v>5.0</v>
      </c>
      <c r="K710" s="4">
        <v>21694.12</v>
      </c>
      <c r="L710" s="5">
        <v>108470.6</v>
      </c>
      <c r="N710" s="2" t="str">
        <f>IF(Table1[Quantity] &gt; 2, "Bulk Order", "Standard Order")</f>
        <v>Bulk Order</v>
      </c>
    </row>
    <row r="711" ht="15.75" customHeight="1">
      <c r="A711" s="2" t="s">
        <v>1814</v>
      </c>
      <c r="B711" s="3">
        <v>45842.0</v>
      </c>
      <c r="C711" s="2" t="s">
        <v>1815</v>
      </c>
      <c r="D711" s="2" t="s">
        <v>1383</v>
      </c>
      <c r="E711" s="2">
        <v>23.0</v>
      </c>
      <c r="F711" s="2" t="s">
        <v>37</v>
      </c>
      <c r="G711" s="2" t="s">
        <v>1625</v>
      </c>
      <c r="H711" s="2" t="s">
        <v>74</v>
      </c>
      <c r="I711" s="2" t="s">
        <v>45</v>
      </c>
      <c r="J711" s="2">
        <v>5.0</v>
      </c>
      <c r="K711" s="4">
        <v>47401.02</v>
      </c>
      <c r="L711" s="5">
        <v>237005.1</v>
      </c>
      <c r="N711" s="2" t="str">
        <f>IF(Table1[Quantity] &gt; 2, "Bulk Order", "Standard Order")</f>
        <v>Bulk Order</v>
      </c>
    </row>
    <row r="712" ht="15.75" customHeight="1">
      <c r="A712" s="2" t="s">
        <v>1816</v>
      </c>
      <c r="B712" s="3">
        <v>45811.0</v>
      </c>
      <c r="C712" s="2" t="s">
        <v>1817</v>
      </c>
      <c r="D712" s="2" t="s">
        <v>367</v>
      </c>
      <c r="E712" s="2">
        <v>30.0</v>
      </c>
      <c r="F712" s="2" t="s">
        <v>29</v>
      </c>
      <c r="G712" s="2" t="s">
        <v>1625</v>
      </c>
      <c r="H712" s="2" t="s">
        <v>56</v>
      </c>
      <c r="I712" s="2" t="s">
        <v>43</v>
      </c>
      <c r="J712" s="2">
        <v>8.0</v>
      </c>
      <c r="K712" s="4">
        <v>49052.97</v>
      </c>
      <c r="L712" s="5">
        <v>392423.76</v>
      </c>
      <c r="N712" s="2" t="str">
        <f>IF(Table1[Quantity] &gt; 2, "Bulk Order", "Standard Order")</f>
        <v>Bulk Order</v>
      </c>
    </row>
    <row r="713" ht="15.75" customHeight="1">
      <c r="A713" s="2" t="s">
        <v>1818</v>
      </c>
      <c r="B713" s="3">
        <v>45954.0</v>
      </c>
      <c r="C713" s="2" t="s">
        <v>1700</v>
      </c>
      <c r="D713" s="2" t="s">
        <v>364</v>
      </c>
      <c r="E713" s="2">
        <v>53.0</v>
      </c>
      <c r="F713" s="2" t="s">
        <v>29</v>
      </c>
      <c r="G713" s="2" t="s">
        <v>1625</v>
      </c>
      <c r="H713" s="2" t="s">
        <v>60</v>
      </c>
      <c r="I713" s="2" t="s">
        <v>43</v>
      </c>
      <c r="J713" s="2">
        <v>7.0</v>
      </c>
      <c r="K713" s="4">
        <v>21599.35</v>
      </c>
      <c r="L713" s="5">
        <v>151195.45</v>
      </c>
      <c r="N713" s="2" t="str">
        <f>IF(Table1[Quantity] &gt; 2, "Bulk Order", "Standard Order")</f>
        <v>Bulk Order</v>
      </c>
    </row>
    <row r="714" ht="15.75" customHeight="1">
      <c r="A714" s="2" t="s">
        <v>1819</v>
      </c>
      <c r="B714" s="3">
        <v>45776.0</v>
      </c>
      <c r="C714" s="2" t="s">
        <v>1820</v>
      </c>
      <c r="D714" s="2" t="s">
        <v>1821</v>
      </c>
      <c r="E714" s="2">
        <v>38.0</v>
      </c>
      <c r="F714" s="2" t="s">
        <v>29</v>
      </c>
      <c r="G714" s="2" t="s">
        <v>1625</v>
      </c>
      <c r="H714" s="2" t="s">
        <v>60</v>
      </c>
      <c r="I714" s="2" t="s">
        <v>43</v>
      </c>
      <c r="J714" s="2">
        <v>5.0</v>
      </c>
      <c r="K714" s="4">
        <v>24358.21</v>
      </c>
      <c r="L714" s="5">
        <v>121791.05</v>
      </c>
      <c r="N714" s="2" t="str">
        <f>IF(Table1[Quantity] &gt; 2, "Bulk Order", "Standard Order")</f>
        <v>Bulk Order</v>
      </c>
    </row>
    <row r="715" ht="15.75" customHeight="1">
      <c r="A715" s="2" t="s">
        <v>1822</v>
      </c>
      <c r="B715" s="3">
        <v>45710.0</v>
      </c>
      <c r="C715" s="2" t="s">
        <v>1823</v>
      </c>
      <c r="D715" s="2" t="s">
        <v>807</v>
      </c>
      <c r="E715" s="2">
        <v>47.0</v>
      </c>
      <c r="F715" s="2" t="s">
        <v>29</v>
      </c>
      <c r="G715" s="2" t="s">
        <v>1625</v>
      </c>
      <c r="H715" s="2" t="s">
        <v>60</v>
      </c>
      <c r="I715" s="2" t="s">
        <v>43</v>
      </c>
      <c r="J715" s="2">
        <v>7.0</v>
      </c>
      <c r="K715" s="4">
        <v>40754.69</v>
      </c>
      <c r="L715" s="5">
        <v>285282.83</v>
      </c>
      <c r="N715" s="2" t="str">
        <f>IF(Table1[Quantity] &gt; 2, "Bulk Order", "Standard Order")</f>
        <v>Bulk Order</v>
      </c>
    </row>
    <row r="716" ht="15.75" customHeight="1">
      <c r="A716" s="2" t="s">
        <v>1824</v>
      </c>
      <c r="B716" s="3">
        <v>45830.0</v>
      </c>
      <c r="C716" s="2" t="s">
        <v>1825</v>
      </c>
      <c r="D716" s="2" t="s">
        <v>954</v>
      </c>
      <c r="E716" s="2">
        <v>30.0</v>
      </c>
      <c r="F716" s="2" t="s">
        <v>29</v>
      </c>
      <c r="G716" s="2" t="s">
        <v>1625</v>
      </c>
      <c r="H716" s="2" t="s">
        <v>31</v>
      </c>
      <c r="I716" s="2" t="s">
        <v>32</v>
      </c>
      <c r="J716" s="2">
        <v>5.0</v>
      </c>
      <c r="K716" s="4">
        <v>20994.21</v>
      </c>
      <c r="L716" s="5">
        <v>104971.05</v>
      </c>
      <c r="N716" s="2" t="str">
        <f>IF(Table1[Quantity] &gt; 2, "Bulk Order", "Standard Order")</f>
        <v>Bulk Order</v>
      </c>
    </row>
    <row r="717" ht="15.75" customHeight="1">
      <c r="A717" s="2" t="s">
        <v>1826</v>
      </c>
      <c r="B717" s="3">
        <v>45797.0</v>
      </c>
      <c r="C717" s="2" t="s">
        <v>1827</v>
      </c>
      <c r="D717" s="2" t="s">
        <v>367</v>
      </c>
      <c r="F717" s="2" t="s">
        <v>29</v>
      </c>
      <c r="G717" s="2" t="s">
        <v>1625</v>
      </c>
      <c r="H717" s="2" t="s">
        <v>56</v>
      </c>
      <c r="I717" s="2" t="s">
        <v>43</v>
      </c>
      <c r="J717" s="2">
        <v>9.0</v>
      </c>
      <c r="K717" s="4">
        <v>11808.33</v>
      </c>
      <c r="L717" s="5">
        <v>106274.97</v>
      </c>
      <c r="N717" s="2" t="str">
        <f>IF(Table1[Quantity] &gt; 2, "Bulk Order", "Standard Order")</f>
        <v>Bulk Order</v>
      </c>
    </row>
    <row r="718" ht="15.75" customHeight="1">
      <c r="A718" s="2" t="s">
        <v>1828</v>
      </c>
      <c r="B718" s="3">
        <v>45791.0</v>
      </c>
      <c r="C718" s="2" t="s">
        <v>1829</v>
      </c>
      <c r="D718" s="2" t="s">
        <v>139</v>
      </c>
      <c r="E718" s="2">
        <v>19.0</v>
      </c>
      <c r="F718" s="2" t="s">
        <v>29</v>
      </c>
      <c r="G718" s="2" t="s">
        <v>1625</v>
      </c>
      <c r="H718" s="2" t="s">
        <v>42</v>
      </c>
      <c r="I718" s="2" t="s">
        <v>41</v>
      </c>
      <c r="J718" s="2">
        <v>3.0</v>
      </c>
      <c r="K718" s="4">
        <v>11492.49</v>
      </c>
      <c r="L718" s="5">
        <v>34477.47</v>
      </c>
      <c r="N718" s="2" t="str">
        <f>IF(Table1[Quantity] &gt; 2, "Bulk Order", "Standard Order")</f>
        <v>Bulk Order</v>
      </c>
    </row>
    <row r="719" ht="15.75" customHeight="1">
      <c r="A719" s="2" t="s">
        <v>137</v>
      </c>
      <c r="B719" s="3">
        <v>45967.0</v>
      </c>
      <c r="C719" s="2" t="s">
        <v>1830</v>
      </c>
      <c r="D719" s="2" t="s">
        <v>1146</v>
      </c>
      <c r="E719" s="2">
        <v>31.0</v>
      </c>
      <c r="F719" s="2" t="s">
        <v>29</v>
      </c>
      <c r="G719" s="2" t="s">
        <v>1625</v>
      </c>
      <c r="H719" s="2" t="s">
        <v>31</v>
      </c>
      <c r="I719" s="2" t="s">
        <v>32</v>
      </c>
      <c r="J719" s="2">
        <v>4.0</v>
      </c>
      <c r="K719" s="4">
        <v>42642.59</v>
      </c>
      <c r="L719" s="5">
        <v>170570.36</v>
      </c>
      <c r="N719" s="2" t="str">
        <f>IF(Table1[Quantity] &gt; 2, "Bulk Order", "Standard Order")</f>
        <v>Bulk Order</v>
      </c>
    </row>
    <row r="720" ht="15.75" customHeight="1">
      <c r="A720" s="2" t="s">
        <v>1831</v>
      </c>
      <c r="B720" s="3">
        <v>45843.0</v>
      </c>
      <c r="C720" s="2" t="s">
        <v>1832</v>
      </c>
      <c r="D720" s="2" t="s">
        <v>151</v>
      </c>
      <c r="E720" s="2">
        <v>61.0</v>
      </c>
      <c r="F720" s="2" t="s">
        <v>29</v>
      </c>
      <c r="G720" s="2" t="s">
        <v>1625</v>
      </c>
      <c r="H720" s="2" t="s">
        <v>31</v>
      </c>
      <c r="I720" s="2" t="s">
        <v>32</v>
      </c>
      <c r="J720" s="2">
        <v>2.0</v>
      </c>
      <c r="K720" s="4">
        <v>36631.23</v>
      </c>
      <c r="L720" s="5">
        <v>73262.46</v>
      </c>
      <c r="N720" s="2" t="str">
        <f>IF(Table1[Quantity] &gt; 2, "Bulk Order", "Standard Order")</f>
        <v>Standard Order</v>
      </c>
    </row>
    <row r="721" ht="15.75" customHeight="1">
      <c r="A721" s="2" t="s">
        <v>1833</v>
      </c>
      <c r="B721" s="3">
        <v>45867.0</v>
      </c>
      <c r="C721" s="2" t="s">
        <v>1834</v>
      </c>
      <c r="D721" s="2" t="s">
        <v>1835</v>
      </c>
      <c r="E721" s="2">
        <v>56.0</v>
      </c>
      <c r="F721" s="2" t="s">
        <v>37</v>
      </c>
      <c r="G721" s="2" t="s">
        <v>1625</v>
      </c>
      <c r="H721" s="2" t="s">
        <v>74</v>
      </c>
      <c r="I721" s="2" t="s">
        <v>45</v>
      </c>
      <c r="J721" s="2">
        <v>3.0</v>
      </c>
      <c r="K721" s="4">
        <v>21435.84</v>
      </c>
      <c r="L721" s="5">
        <v>64307.52</v>
      </c>
      <c r="N721" s="2" t="str">
        <f>IF(Table1[Quantity] &gt; 2, "Bulk Order", "Standard Order")</f>
        <v>Bulk Order</v>
      </c>
    </row>
    <row r="722" ht="15.75" customHeight="1">
      <c r="A722" s="2" t="s">
        <v>1836</v>
      </c>
      <c r="B722" s="3">
        <v>46019.0</v>
      </c>
      <c r="C722" s="2" t="s">
        <v>1837</v>
      </c>
      <c r="D722" s="2" t="s">
        <v>1838</v>
      </c>
      <c r="E722" s="2">
        <v>55.0</v>
      </c>
      <c r="F722" s="2" t="s">
        <v>37</v>
      </c>
      <c r="G722" s="2" t="s">
        <v>1625</v>
      </c>
      <c r="H722" s="2" t="s">
        <v>42</v>
      </c>
      <c r="I722" s="2" t="s">
        <v>41</v>
      </c>
      <c r="J722" s="2">
        <v>9.0</v>
      </c>
      <c r="K722" s="4">
        <v>12322.26</v>
      </c>
      <c r="L722" s="5">
        <v>110900.34</v>
      </c>
      <c r="N722" s="2" t="str">
        <f>IF(Table1[Quantity] &gt; 2, "Bulk Order", "Standard Order")</f>
        <v>Bulk Order</v>
      </c>
    </row>
    <row r="723" ht="15.75" customHeight="1">
      <c r="A723" s="2" t="s">
        <v>1839</v>
      </c>
      <c r="B723" s="3">
        <v>45903.0</v>
      </c>
      <c r="C723" s="2" t="s">
        <v>1840</v>
      </c>
      <c r="D723" s="2" t="s">
        <v>402</v>
      </c>
      <c r="E723" s="2">
        <v>45.0</v>
      </c>
      <c r="F723" s="2" t="s">
        <v>37</v>
      </c>
      <c r="G723" s="2" t="s">
        <v>1625</v>
      </c>
      <c r="H723" s="2" t="s">
        <v>74</v>
      </c>
      <c r="I723" s="2" t="s">
        <v>45</v>
      </c>
      <c r="J723" s="2">
        <v>10.0</v>
      </c>
      <c r="K723" s="4">
        <v>18178.32</v>
      </c>
      <c r="L723" s="5">
        <v>181783.2</v>
      </c>
      <c r="N723" s="2" t="str">
        <f>IF(Table1[Quantity] &gt; 2, "Bulk Order", "Standard Order")</f>
        <v>Bulk Order</v>
      </c>
    </row>
    <row r="724" ht="15.75" customHeight="1">
      <c r="A724" s="2" t="s">
        <v>1841</v>
      </c>
      <c r="B724" s="3">
        <v>46023.0</v>
      </c>
      <c r="C724" s="2" t="s">
        <v>1218</v>
      </c>
      <c r="D724" s="2" t="s">
        <v>475</v>
      </c>
      <c r="E724" s="2">
        <v>57.0</v>
      </c>
      <c r="F724" s="2" t="s">
        <v>29</v>
      </c>
      <c r="G724" s="2" t="s">
        <v>1625</v>
      </c>
      <c r="H724" s="2" t="s">
        <v>64</v>
      </c>
      <c r="I724" s="2" t="s">
        <v>44</v>
      </c>
      <c r="J724" s="2">
        <v>9.0</v>
      </c>
      <c r="K724" s="4">
        <v>38573.17</v>
      </c>
      <c r="L724" s="5">
        <v>347158.53</v>
      </c>
      <c r="N724" s="2" t="str">
        <f>IF(Table1[Quantity] &gt; 2, "Bulk Order", "Standard Order")</f>
        <v>Bulk Order</v>
      </c>
    </row>
    <row r="725" ht="15.75" customHeight="1">
      <c r="A725" s="2" t="s">
        <v>1842</v>
      </c>
      <c r="B725" s="3">
        <v>45968.0</v>
      </c>
      <c r="C725" s="2" t="s">
        <v>1843</v>
      </c>
      <c r="D725" s="2" t="s">
        <v>157</v>
      </c>
      <c r="E725" s="2">
        <v>51.0</v>
      </c>
      <c r="F725" s="2" t="s">
        <v>37</v>
      </c>
      <c r="G725" s="2" t="s">
        <v>1625</v>
      </c>
      <c r="H725" s="2" t="s">
        <v>31</v>
      </c>
      <c r="I725" s="2" t="s">
        <v>32</v>
      </c>
      <c r="J725" s="2">
        <v>6.0</v>
      </c>
      <c r="K725" s="4">
        <v>39243.45</v>
      </c>
      <c r="L725" s="5">
        <v>235460.7</v>
      </c>
      <c r="N725" s="2" t="str">
        <f>IF(Table1[Quantity] &gt; 2, "Bulk Order", "Standard Order")</f>
        <v>Bulk Order</v>
      </c>
    </row>
    <row r="726" ht="15.75" customHeight="1">
      <c r="A726" s="2" t="s">
        <v>1844</v>
      </c>
      <c r="B726" s="3">
        <v>45975.0</v>
      </c>
      <c r="C726" s="2" t="s">
        <v>1845</v>
      </c>
      <c r="D726" s="2" t="s">
        <v>587</v>
      </c>
      <c r="E726" s="2">
        <v>29.0</v>
      </c>
      <c r="F726" s="2" t="s">
        <v>29</v>
      </c>
      <c r="G726" s="2" t="s">
        <v>1625</v>
      </c>
      <c r="H726" s="2" t="s">
        <v>31</v>
      </c>
      <c r="I726" s="2" t="s">
        <v>32</v>
      </c>
      <c r="J726" s="2">
        <v>1.0</v>
      </c>
      <c r="K726" s="4">
        <v>47545.23</v>
      </c>
      <c r="L726" s="5">
        <v>47545.23</v>
      </c>
      <c r="N726" s="2" t="str">
        <f>IF(Table1[Quantity] &gt; 2, "Bulk Order", "Standard Order")</f>
        <v>Standard Order</v>
      </c>
    </row>
    <row r="727" ht="15.75" customHeight="1">
      <c r="A727" s="2" t="s">
        <v>1846</v>
      </c>
      <c r="B727" s="3">
        <v>45688.0</v>
      </c>
      <c r="C727" s="2" t="s">
        <v>1847</v>
      </c>
      <c r="D727" s="2" t="s">
        <v>387</v>
      </c>
      <c r="E727" s="2">
        <v>50.0</v>
      </c>
      <c r="F727" s="2" t="s">
        <v>29</v>
      </c>
      <c r="G727" s="2" t="s">
        <v>1625</v>
      </c>
      <c r="H727" s="2" t="s">
        <v>74</v>
      </c>
      <c r="I727" s="2" t="s">
        <v>45</v>
      </c>
      <c r="J727" s="2">
        <v>2.0</v>
      </c>
      <c r="K727" s="4">
        <v>30197.53</v>
      </c>
      <c r="L727" s="5">
        <v>60395.06</v>
      </c>
      <c r="N727" s="2" t="str">
        <f>IF(Table1[Quantity] &gt; 2, "Bulk Order", "Standard Order")</f>
        <v>Standard Order</v>
      </c>
    </row>
    <row r="728" ht="15.75" customHeight="1">
      <c r="A728" s="2" t="s">
        <v>1848</v>
      </c>
      <c r="B728" s="3">
        <v>45824.0</v>
      </c>
      <c r="C728" s="2" t="s">
        <v>1849</v>
      </c>
      <c r="D728" s="2" t="s">
        <v>1084</v>
      </c>
      <c r="E728" s="2">
        <v>45.0</v>
      </c>
      <c r="F728" s="2" t="s">
        <v>37</v>
      </c>
      <c r="G728" s="2" t="s">
        <v>1625</v>
      </c>
      <c r="H728" s="2" t="s">
        <v>42</v>
      </c>
      <c r="I728" s="2" t="s">
        <v>41</v>
      </c>
      <c r="J728" s="2">
        <v>3.0</v>
      </c>
      <c r="K728" s="4">
        <v>17152.2</v>
      </c>
      <c r="L728" s="5">
        <v>51456.6</v>
      </c>
      <c r="N728" s="2" t="str">
        <f>IF(Table1[Quantity] &gt; 2, "Bulk Order", "Standard Order")</f>
        <v>Bulk Order</v>
      </c>
    </row>
    <row r="729" ht="15.75" customHeight="1">
      <c r="A729" s="2" t="s">
        <v>1850</v>
      </c>
      <c r="B729" s="3">
        <v>45827.0</v>
      </c>
      <c r="C729" s="2" t="s">
        <v>1851</v>
      </c>
      <c r="D729" s="2" t="s">
        <v>297</v>
      </c>
      <c r="E729" s="2">
        <v>42.0</v>
      </c>
      <c r="F729" s="2" t="s">
        <v>37</v>
      </c>
      <c r="G729" s="2" t="s">
        <v>1625</v>
      </c>
      <c r="H729" s="2" t="s">
        <v>60</v>
      </c>
      <c r="I729" s="2" t="s">
        <v>43</v>
      </c>
      <c r="J729" s="2">
        <v>1.0</v>
      </c>
      <c r="K729" s="4">
        <v>31849.44</v>
      </c>
      <c r="L729" s="5">
        <v>31849.44</v>
      </c>
      <c r="N729" s="2" t="str">
        <f>IF(Table1[Quantity] &gt; 2, "Bulk Order", "Standard Order")</f>
        <v>Standard Order</v>
      </c>
    </row>
    <row r="730" ht="15.75" customHeight="1">
      <c r="A730" s="2" t="s">
        <v>1852</v>
      </c>
      <c r="B730" s="3">
        <v>45988.0</v>
      </c>
      <c r="C730" s="2" t="s">
        <v>1853</v>
      </c>
      <c r="D730" s="2" t="s">
        <v>661</v>
      </c>
      <c r="E730" s="2">
        <v>44.0</v>
      </c>
      <c r="F730" s="2" t="s">
        <v>29</v>
      </c>
      <c r="G730" s="2" t="s">
        <v>1625</v>
      </c>
      <c r="H730" s="2" t="s">
        <v>64</v>
      </c>
      <c r="I730" s="2" t="s">
        <v>44</v>
      </c>
      <c r="J730" s="2">
        <v>6.0</v>
      </c>
      <c r="K730" s="4">
        <v>9784.56</v>
      </c>
      <c r="L730" s="5">
        <v>58707.36</v>
      </c>
      <c r="N730" s="2" t="str">
        <f>IF(Table1[Quantity] &gt; 2, "Bulk Order", "Standard Order")</f>
        <v>Bulk Order</v>
      </c>
    </row>
    <row r="731" ht="15.75" customHeight="1">
      <c r="A731" s="2" t="s">
        <v>1854</v>
      </c>
      <c r="B731" s="3">
        <v>45763.0</v>
      </c>
      <c r="C731" s="2" t="s">
        <v>1855</v>
      </c>
      <c r="D731" s="2" t="s">
        <v>136</v>
      </c>
      <c r="E731" s="2">
        <v>26.0</v>
      </c>
      <c r="F731" s="2" t="s">
        <v>37</v>
      </c>
      <c r="G731" s="2" t="s">
        <v>1625</v>
      </c>
      <c r="H731" s="2" t="s">
        <v>42</v>
      </c>
      <c r="I731" s="2" t="s">
        <v>41</v>
      </c>
      <c r="J731" s="2">
        <v>10.0</v>
      </c>
      <c r="K731" s="4">
        <v>35093.39</v>
      </c>
      <c r="L731" s="5">
        <v>350933.9</v>
      </c>
      <c r="N731" s="2" t="str">
        <f>IF(Table1[Quantity] &gt; 2, "Bulk Order", "Standard Order")</f>
        <v>Bulk Order</v>
      </c>
    </row>
    <row r="732" ht="15.75" customHeight="1">
      <c r="A732" s="2" t="s">
        <v>1856</v>
      </c>
      <c r="B732" s="3">
        <v>45809.0</v>
      </c>
      <c r="C732" s="2" t="s">
        <v>1857</v>
      </c>
      <c r="D732" s="2" t="s">
        <v>812</v>
      </c>
      <c r="E732" s="2">
        <v>20.0</v>
      </c>
      <c r="F732" s="2" t="s">
        <v>29</v>
      </c>
      <c r="G732" s="2" t="s">
        <v>1625</v>
      </c>
      <c r="H732" s="2" t="s">
        <v>64</v>
      </c>
      <c r="I732" s="2" t="s">
        <v>44</v>
      </c>
      <c r="J732" s="2">
        <v>3.0</v>
      </c>
      <c r="K732" s="4">
        <v>31063.57</v>
      </c>
      <c r="L732" s="5">
        <v>93190.71</v>
      </c>
      <c r="N732" s="2" t="str">
        <f>IF(Table1[Quantity] &gt; 2, "Bulk Order", "Standard Order")</f>
        <v>Bulk Order</v>
      </c>
    </row>
    <row r="733" ht="15.75" customHeight="1">
      <c r="A733" s="2" t="s">
        <v>1858</v>
      </c>
      <c r="B733" s="3">
        <v>45979.0</v>
      </c>
      <c r="C733" s="2" t="s">
        <v>1859</v>
      </c>
      <c r="D733" s="2" t="s">
        <v>1435</v>
      </c>
      <c r="E733" s="2">
        <v>35.0</v>
      </c>
      <c r="F733" s="2" t="s">
        <v>29</v>
      </c>
      <c r="G733" s="2" t="s">
        <v>1625</v>
      </c>
      <c r="H733" s="2" t="s">
        <v>56</v>
      </c>
      <c r="I733" s="2" t="s">
        <v>43</v>
      </c>
      <c r="J733" s="2">
        <v>5.0</v>
      </c>
      <c r="K733" s="4">
        <v>27648.52</v>
      </c>
      <c r="L733" s="5">
        <v>138242.6</v>
      </c>
      <c r="N733" s="2" t="str">
        <f>IF(Table1[Quantity] &gt; 2, "Bulk Order", "Standard Order")</f>
        <v>Bulk Order</v>
      </c>
    </row>
    <row r="734" ht="15.75" customHeight="1">
      <c r="A734" s="2" t="s">
        <v>1860</v>
      </c>
      <c r="B734" s="3">
        <v>45991.0</v>
      </c>
      <c r="C734" s="2" t="s">
        <v>1861</v>
      </c>
      <c r="D734" s="2" t="s">
        <v>1862</v>
      </c>
      <c r="E734" s="2">
        <v>36.0</v>
      </c>
      <c r="F734" s="2" t="s">
        <v>29</v>
      </c>
      <c r="G734" s="2" t="s">
        <v>1625</v>
      </c>
      <c r="H734" s="2" t="s">
        <v>31</v>
      </c>
      <c r="I734" s="2" t="s">
        <v>32</v>
      </c>
      <c r="J734" s="2">
        <v>5.0</v>
      </c>
      <c r="K734" s="4">
        <v>40104.71</v>
      </c>
      <c r="L734" s="5">
        <v>200523.55</v>
      </c>
      <c r="N734" s="2" t="str">
        <f>IF(Table1[Quantity] &gt; 2, "Bulk Order", "Standard Order")</f>
        <v>Bulk Order</v>
      </c>
    </row>
    <row r="735" ht="15.75" customHeight="1">
      <c r="A735" s="2" t="s">
        <v>1863</v>
      </c>
      <c r="B735" s="3">
        <v>45986.0</v>
      </c>
      <c r="C735" s="2" t="s">
        <v>1864</v>
      </c>
      <c r="D735" s="2" t="s">
        <v>169</v>
      </c>
      <c r="E735" s="2">
        <v>48.0</v>
      </c>
      <c r="F735" s="2" t="s">
        <v>29</v>
      </c>
      <c r="G735" s="2" t="s">
        <v>1625</v>
      </c>
      <c r="H735" s="2" t="s">
        <v>31</v>
      </c>
      <c r="I735" s="2" t="s">
        <v>32</v>
      </c>
      <c r="J735" s="2">
        <v>10.0</v>
      </c>
      <c r="K735" s="4">
        <v>23757.31</v>
      </c>
      <c r="L735" s="5">
        <v>237573.1</v>
      </c>
      <c r="N735" s="2" t="str">
        <f>IF(Table1[Quantity] &gt; 2, "Bulk Order", "Standard Order")</f>
        <v>Bulk Order</v>
      </c>
    </row>
    <row r="736" ht="15.75" customHeight="1">
      <c r="A736" s="2" t="s">
        <v>1865</v>
      </c>
      <c r="B736" s="3">
        <v>45938.0</v>
      </c>
      <c r="C736" s="2" t="s">
        <v>1866</v>
      </c>
      <c r="D736" s="2" t="s">
        <v>988</v>
      </c>
      <c r="E736" s="2">
        <v>55.0</v>
      </c>
      <c r="F736" s="2" t="s">
        <v>37</v>
      </c>
      <c r="G736" s="2" t="s">
        <v>1625</v>
      </c>
      <c r="H736" s="2" t="s">
        <v>56</v>
      </c>
      <c r="I736" s="2" t="s">
        <v>43</v>
      </c>
      <c r="J736" s="2">
        <v>2.0</v>
      </c>
      <c r="K736" s="4">
        <v>7104.93</v>
      </c>
      <c r="L736" s="5">
        <v>14209.86</v>
      </c>
      <c r="N736" s="2" t="str">
        <f>IF(Table1[Quantity] &gt; 2, "Bulk Order", "Standard Order")</f>
        <v>Standard Order</v>
      </c>
    </row>
    <row r="737" ht="15.75" customHeight="1">
      <c r="A737" s="2" t="s">
        <v>1867</v>
      </c>
      <c r="B737" s="3">
        <v>45784.0</v>
      </c>
      <c r="C737" s="2" t="s">
        <v>1868</v>
      </c>
      <c r="D737" s="2" t="s">
        <v>1869</v>
      </c>
      <c r="E737" s="2">
        <v>43.0</v>
      </c>
      <c r="F737" s="2" t="s">
        <v>29</v>
      </c>
      <c r="G737" s="2" t="s">
        <v>1625</v>
      </c>
      <c r="H737" s="2" t="s">
        <v>64</v>
      </c>
      <c r="I737" s="2" t="s">
        <v>44</v>
      </c>
      <c r="J737" s="2">
        <v>8.0</v>
      </c>
      <c r="K737" s="4">
        <v>3220.99</v>
      </c>
      <c r="L737" s="5">
        <v>25767.92</v>
      </c>
      <c r="N737" s="2" t="str">
        <f>IF(Table1[Quantity] &gt; 2, "Bulk Order", "Standard Order")</f>
        <v>Bulk Order</v>
      </c>
    </row>
    <row r="738" ht="15.75" customHeight="1">
      <c r="A738" s="2" t="s">
        <v>1870</v>
      </c>
      <c r="B738" s="3">
        <v>45899.0</v>
      </c>
      <c r="C738" s="2" t="s">
        <v>1871</v>
      </c>
      <c r="D738" s="2" t="s">
        <v>824</v>
      </c>
      <c r="E738" s="2">
        <v>30.0</v>
      </c>
      <c r="F738" s="2" t="s">
        <v>37</v>
      </c>
      <c r="G738" s="2" t="s">
        <v>1625</v>
      </c>
      <c r="H738" s="2" t="s">
        <v>31</v>
      </c>
      <c r="I738" s="2" t="s">
        <v>32</v>
      </c>
      <c r="J738" s="2">
        <v>1.0</v>
      </c>
      <c r="K738" s="4">
        <v>16506.48</v>
      </c>
      <c r="L738" s="5">
        <v>16506.48</v>
      </c>
      <c r="N738" s="2" t="str">
        <f>IF(Table1[Quantity] &gt; 2, "Bulk Order", "Standard Order")</f>
        <v>Standard Order</v>
      </c>
    </row>
    <row r="739" ht="15.75" customHeight="1">
      <c r="A739" s="2" t="s">
        <v>1872</v>
      </c>
      <c r="B739" s="3">
        <v>45950.0</v>
      </c>
      <c r="C739" s="2" t="s">
        <v>1873</v>
      </c>
      <c r="D739" s="2" t="s">
        <v>148</v>
      </c>
      <c r="E739" s="2">
        <v>20.0</v>
      </c>
      <c r="F739" s="2" t="s">
        <v>29</v>
      </c>
      <c r="G739" s="2" t="s">
        <v>1625</v>
      </c>
      <c r="H739" s="2" t="s">
        <v>42</v>
      </c>
      <c r="I739" s="2" t="s">
        <v>41</v>
      </c>
      <c r="J739" s="2">
        <v>1.0</v>
      </c>
      <c r="K739" s="4">
        <v>31247.14</v>
      </c>
      <c r="L739" s="5">
        <v>31247.14</v>
      </c>
      <c r="N739" s="2" t="str">
        <f>IF(Table1[Quantity] &gt; 2, "Bulk Order", "Standard Order")</f>
        <v>Standard Order</v>
      </c>
    </row>
    <row r="740" ht="15.75" customHeight="1">
      <c r="A740" s="2" t="s">
        <v>1874</v>
      </c>
      <c r="B740" s="3">
        <v>45676.0</v>
      </c>
      <c r="C740" s="2" t="s">
        <v>1875</v>
      </c>
      <c r="D740" s="2" t="s">
        <v>702</v>
      </c>
      <c r="E740" s="2">
        <v>33.0</v>
      </c>
      <c r="F740" s="2" t="s">
        <v>37</v>
      </c>
      <c r="G740" s="2" t="s">
        <v>1625</v>
      </c>
      <c r="H740" s="2" t="s">
        <v>74</v>
      </c>
      <c r="I740" s="2" t="s">
        <v>45</v>
      </c>
      <c r="J740" s="2">
        <v>5.0</v>
      </c>
      <c r="K740" s="4">
        <v>40193.89</v>
      </c>
      <c r="L740" s="5">
        <v>200969.45</v>
      </c>
      <c r="N740" s="2" t="str">
        <f>IF(Table1[Quantity] &gt; 2, "Bulk Order", "Standard Order")</f>
        <v>Bulk Order</v>
      </c>
    </row>
    <row r="741" ht="15.75" customHeight="1">
      <c r="A741" s="2" t="s">
        <v>1876</v>
      </c>
      <c r="B741" s="3">
        <v>45814.0</v>
      </c>
      <c r="C741" s="2" t="s">
        <v>1877</v>
      </c>
      <c r="D741" s="2" t="s">
        <v>63</v>
      </c>
      <c r="E741" s="2">
        <v>55.0</v>
      </c>
      <c r="F741" s="2" t="s">
        <v>29</v>
      </c>
      <c r="G741" s="2" t="s">
        <v>1625</v>
      </c>
      <c r="H741" s="2" t="s">
        <v>31</v>
      </c>
      <c r="I741" s="2" t="s">
        <v>32</v>
      </c>
      <c r="J741" s="2">
        <v>2.0</v>
      </c>
      <c r="K741" s="4">
        <v>30743.1</v>
      </c>
      <c r="L741" s="5">
        <v>61486.2</v>
      </c>
      <c r="N741" s="2" t="str">
        <f>IF(Table1[Quantity] &gt; 2, "Bulk Order", "Standard Order")</f>
        <v>Standard Order</v>
      </c>
    </row>
    <row r="742" ht="15.75" customHeight="1">
      <c r="A742" s="2" t="s">
        <v>1878</v>
      </c>
      <c r="B742" s="3">
        <v>45715.0</v>
      </c>
      <c r="C742" s="2" t="s">
        <v>1879</v>
      </c>
      <c r="D742" s="2" t="s">
        <v>1880</v>
      </c>
      <c r="E742" s="2">
        <v>36.0</v>
      </c>
      <c r="F742" s="2" t="s">
        <v>29</v>
      </c>
      <c r="G742" s="2" t="s">
        <v>1625</v>
      </c>
      <c r="H742" s="2" t="s">
        <v>64</v>
      </c>
      <c r="I742" s="2" t="s">
        <v>44</v>
      </c>
      <c r="J742" s="2">
        <v>1.0</v>
      </c>
      <c r="K742" s="4">
        <v>10625.65</v>
      </c>
      <c r="L742" s="5">
        <v>10625.65</v>
      </c>
      <c r="N742" s="2" t="str">
        <f>IF(Table1[Quantity] &gt; 2, "Bulk Order", "Standard Order")</f>
        <v>Standard Order</v>
      </c>
    </row>
    <row r="743" ht="15.75" customHeight="1">
      <c r="A743" s="2" t="s">
        <v>1881</v>
      </c>
      <c r="B743" s="3">
        <v>45898.0</v>
      </c>
      <c r="C743" s="2" t="s">
        <v>1882</v>
      </c>
      <c r="D743" s="2" t="s">
        <v>121</v>
      </c>
      <c r="E743" s="2">
        <v>57.0</v>
      </c>
      <c r="F743" s="2" t="s">
        <v>37</v>
      </c>
      <c r="G743" s="2" t="s">
        <v>1625</v>
      </c>
      <c r="H743" s="2" t="s">
        <v>64</v>
      </c>
      <c r="I743" s="2" t="s">
        <v>44</v>
      </c>
      <c r="J743" s="2">
        <v>4.0</v>
      </c>
      <c r="K743" s="4">
        <v>39917.24</v>
      </c>
      <c r="L743" s="5">
        <v>159668.96</v>
      </c>
      <c r="N743" s="2" t="str">
        <f>IF(Table1[Quantity] &gt; 2, "Bulk Order", "Standard Order")</f>
        <v>Bulk Order</v>
      </c>
    </row>
    <row r="744" ht="15.75" customHeight="1">
      <c r="A744" s="2" t="s">
        <v>1883</v>
      </c>
      <c r="B744" s="3">
        <v>45873.0</v>
      </c>
      <c r="C744" s="2" t="s">
        <v>1884</v>
      </c>
      <c r="D744" s="2" t="s">
        <v>467</v>
      </c>
      <c r="E744" s="2">
        <v>50.0</v>
      </c>
      <c r="F744" s="2" t="s">
        <v>37</v>
      </c>
      <c r="G744" s="2" t="s">
        <v>1625</v>
      </c>
      <c r="H744" s="2" t="s">
        <v>60</v>
      </c>
      <c r="I744" s="2" t="s">
        <v>43</v>
      </c>
      <c r="J744" s="2">
        <v>4.0</v>
      </c>
      <c r="K744" s="4">
        <v>27478.45</v>
      </c>
      <c r="L744" s="5">
        <v>109913.8</v>
      </c>
      <c r="N744" s="2" t="str">
        <f>IF(Table1[Quantity] &gt; 2, "Bulk Order", "Standard Order")</f>
        <v>Bulk Order</v>
      </c>
    </row>
    <row r="745" ht="15.75" customHeight="1">
      <c r="A745" s="2" t="s">
        <v>1885</v>
      </c>
      <c r="B745" s="3">
        <v>45851.0</v>
      </c>
      <c r="C745" s="2" t="s">
        <v>1886</v>
      </c>
      <c r="D745" s="2" t="s">
        <v>261</v>
      </c>
      <c r="E745" s="2">
        <v>20.0</v>
      </c>
      <c r="F745" s="2" t="s">
        <v>37</v>
      </c>
      <c r="G745" s="2" t="s">
        <v>1625</v>
      </c>
      <c r="H745" s="2" t="s">
        <v>74</v>
      </c>
      <c r="I745" s="2" t="s">
        <v>45</v>
      </c>
      <c r="J745" s="2">
        <v>2.0</v>
      </c>
      <c r="K745" s="4">
        <v>20191.53</v>
      </c>
      <c r="L745" s="5">
        <v>40383.06</v>
      </c>
      <c r="N745" s="2" t="str">
        <f>IF(Table1[Quantity] &gt; 2, "Bulk Order", "Standard Order")</f>
        <v>Standard Order</v>
      </c>
    </row>
    <row r="746" ht="15.75" customHeight="1">
      <c r="A746" s="2" t="s">
        <v>1887</v>
      </c>
      <c r="B746" s="3">
        <v>45880.0</v>
      </c>
      <c r="C746" s="2" t="s">
        <v>1888</v>
      </c>
      <c r="D746" s="2" t="s">
        <v>1479</v>
      </c>
      <c r="E746" s="2">
        <v>36.0</v>
      </c>
      <c r="F746" s="2" t="s">
        <v>37</v>
      </c>
      <c r="G746" s="2" t="s">
        <v>1625</v>
      </c>
      <c r="H746" s="2" t="s">
        <v>64</v>
      </c>
      <c r="I746" s="2" t="s">
        <v>44</v>
      </c>
      <c r="J746" s="2">
        <v>9.0</v>
      </c>
      <c r="K746" s="4">
        <v>23583.66</v>
      </c>
      <c r="L746" s="5">
        <v>212252.94</v>
      </c>
      <c r="N746" s="2" t="str">
        <f>IF(Table1[Quantity] &gt; 2, "Bulk Order", "Standard Order")</f>
        <v>Bulk Order</v>
      </c>
    </row>
    <row r="747" ht="15.75" customHeight="1">
      <c r="A747" s="2" t="s">
        <v>1889</v>
      </c>
      <c r="B747" s="3">
        <v>46001.0</v>
      </c>
      <c r="C747" s="2" t="s">
        <v>1890</v>
      </c>
      <c r="D747" s="2" t="s">
        <v>1891</v>
      </c>
      <c r="E747" s="2">
        <v>43.0</v>
      </c>
      <c r="F747" s="2" t="s">
        <v>37</v>
      </c>
      <c r="G747" s="2" t="s">
        <v>1625</v>
      </c>
      <c r="H747" s="2" t="s">
        <v>56</v>
      </c>
      <c r="I747" s="2" t="s">
        <v>43</v>
      </c>
      <c r="J747" s="2">
        <v>3.0</v>
      </c>
      <c r="K747" s="4">
        <v>25618.42</v>
      </c>
      <c r="L747" s="5">
        <v>76855.26</v>
      </c>
      <c r="N747" s="2" t="str">
        <f>IF(Table1[Quantity] &gt; 2, "Bulk Order", "Standard Order")</f>
        <v>Bulk Order</v>
      </c>
    </row>
    <row r="748" ht="15.75" customHeight="1">
      <c r="A748" s="2" t="s">
        <v>1892</v>
      </c>
      <c r="B748" s="3">
        <v>45757.0</v>
      </c>
      <c r="C748" s="2" t="s">
        <v>1893</v>
      </c>
      <c r="D748" s="2" t="s">
        <v>399</v>
      </c>
      <c r="E748" s="2">
        <v>65.0</v>
      </c>
      <c r="F748" s="2" t="s">
        <v>29</v>
      </c>
      <c r="G748" s="2" t="s">
        <v>1625</v>
      </c>
      <c r="H748" s="2" t="s">
        <v>31</v>
      </c>
      <c r="I748" s="2" t="s">
        <v>32</v>
      </c>
      <c r="J748" s="2">
        <v>9.0</v>
      </c>
      <c r="K748" s="4">
        <v>33475.97</v>
      </c>
      <c r="L748" s="5">
        <v>301283.73</v>
      </c>
      <c r="N748" s="2" t="str">
        <f>IF(Table1[Quantity] &gt; 2, "Bulk Order", "Standard Order")</f>
        <v>Bulk Order</v>
      </c>
    </row>
    <row r="749" ht="15.75" customHeight="1">
      <c r="A749" s="2" t="s">
        <v>1894</v>
      </c>
      <c r="B749" s="3">
        <v>45961.0</v>
      </c>
      <c r="C749" s="2" t="s">
        <v>1895</v>
      </c>
      <c r="D749" s="2" t="s">
        <v>824</v>
      </c>
      <c r="E749" s="2">
        <v>65.0</v>
      </c>
      <c r="F749" s="2" t="s">
        <v>29</v>
      </c>
      <c r="G749" s="2" t="s">
        <v>1625</v>
      </c>
      <c r="H749" s="2" t="s">
        <v>42</v>
      </c>
      <c r="I749" s="2" t="s">
        <v>41</v>
      </c>
      <c r="J749" s="2">
        <v>9.0</v>
      </c>
      <c r="K749" s="4">
        <v>33480.07</v>
      </c>
      <c r="L749" s="5">
        <v>301320.63</v>
      </c>
      <c r="N749" s="2" t="str">
        <f>IF(Table1[Quantity] &gt; 2, "Bulk Order", "Standard Order")</f>
        <v>Bulk Order</v>
      </c>
    </row>
    <row r="750" ht="15.75" customHeight="1">
      <c r="A750" s="2" t="s">
        <v>1896</v>
      </c>
      <c r="B750" s="3">
        <v>45859.0</v>
      </c>
      <c r="C750" s="2" t="s">
        <v>1897</v>
      </c>
      <c r="D750" s="2" t="s">
        <v>1299</v>
      </c>
      <c r="E750" s="2">
        <v>58.0</v>
      </c>
      <c r="F750" s="2" t="s">
        <v>37</v>
      </c>
      <c r="G750" s="2" t="s">
        <v>1625</v>
      </c>
      <c r="H750" s="2" t="s">
        <v>60</v>
      </c>
      <c r="I750" s="2" t="s">
        <v>43</v>
      </c>
      <c r="J750" s="2">
        <v>9.0</v>
      </c>
      <c r="K750" s="4">
        <v>24421.73</v>
      </c>
      <c r="L750" s="5">
        <v>219795.57</v>
      </c>
      <c r="N750" s="2" t="str">
        <f>IF(Table1[Quantity] &gt; 2, "Bulk Order", "Standard Order")</f>
        <v>Bulk Order</v>
      </c>
    </row>
    <row r="751" ht="15.75" customHeight="1">
      <c r="A751" s="2" t="s">
        <v>1898</v>
      </c>
      <c r="B751" s="3">
        <v>45903.0</v>
      </c>
      <c r="C751" s="2" t="s">
        <v>1899</v>
      </c>
      <c r="D751" s="2" t="s">
        <v>121</v>
      </c>
      <c r="E751" s="2">
        <v>54.0</v>
      </c>
      <c r="F751" s="2" t="s">
        <v>37</v>
      </c>
      <c r="G751" s="2" t="s">
        <v>1625</v>
      </c>
      <c r="H751" s="2" t="s">
        <v>64</v>
      </c>
      <c r="I751" s="2" t="s">
        <v>44</v>
      </c>
      <c r="J751" s="2">
        <v>3.0</v>
      </c>
      <c r="K751" s="4">
        <v>18013.26</v>
      </c>
      <c r="L751" s="5">
        <v>54039.78</v>
      </c>
      <c r="N751" s="2" t="str">
        <f>IF(Table1[Quantity] &gt; 2, "Bulk Order", "Standard Order")</f>
        <v>Bulk Order</v>
      </c>
    </row>
    <row r="752" ht="15.75" customHeight="1">
      <c r="A752" s="2" t="s">
        <v>1900</v>
      </c>
      <c r="B752" s="3">
        <v>45732.0</v>
      </c>
      <c r="C752" s="2" t="s">
        <v>1901</v>
      </c>
      <c r="D752" s="2" t="s">
        <v>154</v>
      </c>
      <c r="E752" s="2">
        <v>37.0</v>
      </c>
      <c r="F752" s="2" t="s">
        <v>29</v>
      </c>
      <c r="G752" s="2" t="s">
        <v>1625</v>
      </c>
      <c r="H752" s="2" t="s">
        <v>56</v>
      </c>
      <c r="I752" s="2" t="s">
        <v>43</v>
      </c>
      <c r="J752" s="2">
        <v>4.0</v>
      </c>
      <c r="K752" s="4">
        <v>34140.07</v>
      </c>
      <c r="L752" s="5">
        <v>136560.28</v>
      </c>
      <c r="N752" s="2" t="str">
        <f>IF(Table1[Quantity] &gt; 2, "Bulk Order", "Standard Order")</f>
        <v>Bulk Order</v>
      </c>
    </row>
    <row r="753" ht="15.75" customHeight="1">
      <c r="A753" s="2" t="s">
        <v>1902</v>
      </c>
      <c r="B753" s="3">
        <v>45849.0</v>
      </c>
      <c r="C753" s="2" t="s">
        <v>1903</v>
      </c>
      <c r="D753" s="2" t="s">
        <v>1904</v>
      </c>
      <c r="E753" s="2">
        <v>52.0</v>
      </c>
      <c r="F753" s="2" t="s">
        <v>29</v>
      </c>
      <c r="G753" s="2" t="s">
        <v>1625</v>
      </c>
      <c r="H753" s="2" t="s">
        <v>74</v>
      </c>
      <c r="I753" s="2" t="s">
        <v>45</v>
      </c>
      <c r="J753" s="2">
        <v>5.0</v>
      </c>
      <c r="K753" s="4">
        <v>7279.34</v>
      </c>
      <c r="L753" s="5">
        <v>36396.7</v>
      </c>
      <c r="N753" s="2" t="str">
        <f>IF(Table1[Quantity] &gt; 2, "Bulk Order", "Standard Order")</f>
        <v>Bulk Order</v>
      </c>
    </row>
    <row r="754" ht="15.75" customHeight="1">
      <c r="A754" s="2" t="s">
        <v>1905</v>
      </c>
      <c r="B754" s="3">
        <v>45868.0</v>
      </c>
      <c r="C754" s="2" t="s">
        <v>1906</v>
      </c>
      <c r="D754" s="2" t="s">
        <v>1554</v>
      </c>
      <c r="E754" s="2">
        <v>64.0</v>
      </c>
      <c r="F754" s="2" t="s">
        <v>37</v>
      </c>
      <c r="G754" s="2" t="s">
        <v>1625</v>
      </c>
      <c r="H754" s="2" t="s">
        <v>74</v>
      </c>
      <c r="I754" s="2" t="s">
        <v>45</v>
      </c>
      <c r="J754" s="2">
        <v>1.0</v>
      </c>
      <c r="K754" s="4">
        <v>37930.19</v>
      </c>
      <c r="L754" s="5">
        <v>37930.19</v>
      </c>
      <c r="N754" s="2" t="str">
        <f>IF(Table1[Quantity] &gt; 2, "Bulk Order", "Standard Order")</f>
        <v>Standard Order</v>
      </c>
    </row>
    <row r="755" ht="15.75" customHeight="1">
      <c r="A755" s="2" t="s">
        <v>1907</v>
      </c>
      <c r="B755" s="3">
        <v>45944.0</v>
      </c>
      <c r="C755" s="2" t="s">
        <v>1908</v>
      </c>
      <c r="D755" s="2" t="s">
        <v>345</v>
      </c>
      <c r="E755" s="2">
        <v>61.0</v>
      </c>
      <c r="F755" s="2" t="s">
        <v>37</v>
      </c>
      <c r="G755" s="2" t="s">
        <v>1909</v>
      </c>
      <c r="H755" s="2" t="s">
        <v>56</v>
      </c>
      <c r="I755" s="2" t="s">
        <v>43</v>
      </c>
      <c r="J755" s="2">
        <v>6.0</v>
      </c>
      <c r="K755" s="4">
        <v>49997.53</v>
      </c>
      <c r="L755" s="5">
        <v>299985.18</v>
      </c>
      <c r="N755" s="2" t="str">
        <f>IF(Table1[Quantity] &gt; 2, "Bulk Order", "Standard Order")</f>
        <v>Bulk Order</v>
      </c>
    </row>
    <row r="756" ht="15.75" customHeight="1">
      <c r="A756" s="2" t="s">
        <v>1910</v>
      </c>
      <c r="B756" s="3">
        <v>45779.0</v>
      </c>
      <c r="C756" s="2" t="s">
        <v>1911</v>
      </c>
      <c r="D756" s="2" t="s">
        <v>384</v>
      </c>
      <c r="E756" s="2">
        <v>55.0</v>
      </c>
      <c r="F756" s="2" t="s">
        <v>29</v>
      </c>
      <c r="G756" s="2" t="s">
        <v>1909</v>
      </c>
      <c r="H756" s="2" t="s">
        <v>74</v>
      </c>
      <c r="I756" s="2" t="s">
        <v>45</v>
      </c>
      <c r="J756" s="2">
        <v>6.0</v>
      </c>
      <c r="K756" s="4">
        <v>47175.43</v>
      </c>
      <c r="L756" s="5">
        <v>283052.58</v>
      </c>
      <c r="N756" s="2" t="str">
        <f>IF(Table1[Quantity] &gt; 2, "Bulk Order", "Standard Order")</f>
        <v>Bulk Order</v>
      </c>
    </row>
    <row r="757" ht="15.75" customHeight="1">
      <c r="A757" s="2" t="s">
        <v>1912</v>
      </c>
      <c r="B757" s="3">
        <v>45783.0</v>
      </c>
      <c r="C757" s="2" t="s">
        <v>1913</v>
      </c>
      <c r="D757" s="2" t="s">
        <v>1914</v>
      </c>
      <c r="E757" s="2">
        <v>32.0</v>
      </c>
      <c r="F757" s="2" t="s">
        <v>37</v>
      </c>
      <c r="G757" s="2" t="s">
        <v>1909</v>
      </c>
      <c r="H757" s="2" t="s">
        <v>31</v>
      </c>
      <c r="I757" s="2" t="s">
        <v>32</v>
      </c>
      <c r="J757" s="2">
        <v>5.0</v>
      </c>
      <c r="K757" s="4">
        <v>7413.68</v>
      </c>
      <c r="L757" s="5">
        <v>37068.4</v>
      </c>
      <c r="N757" s="2" t="str">
        <f>IF(Table1[Quantity] &gt; 2, "Bulk Order", "Standard Order")</f>
        <v>Bulk Order</v>
      </c>
    </row>
    <row r="758" ht="15.75" customHeight="1">
      <c r="A758" s="2" t="s">
        <v>1915</v>
      </c>
      <c r="B758" s="3">
        <v>45771.0</v>
      </c>
      <c r="C758" s="2" t="s">
        <v>1916</v>
      </c>
      <c r="D758" s="2" t="s">
        <v>1917</v>
      </c>
      <c r="E758" s="2">
        <v>50.0</v>
      </c>
      <c r="F758" s="2" t="s">
        <v>29</v>
      </c>
      <c r="G758" s="2" t="s">
        <v>1909</v>
      </c>
      <c r="H758" s="2" t="s">
        <v>64</v>
      </c>
      <c r="I758" s="2" t="s">
        <v>44</v>
      </c>
      <c r="J758" s="2">
        <v>8.0</v>
      </c>
      <c r="K758" s="4">
        <v>12042.52</v>
      </c>
      <c r="L758" s="5">
        <v>96340.16</v>
      </c>
      <c r="N758" s="2" t="str">
        <f>IF(Table1[Quantity] &gt; 2, "Bulk Order", "Standard Order")</f>
        <v>Bulk Order</v>
      </c>
    </row>
    <row r="759" ht="15.75" customHeight="1">
      <c r="A759" s="2" t="s">
        <v>1918</v>
      </c>
      <c r="B759" s="3">
        <v>45728.0</v>
      </c>
      <c r="C759" s="2" t="s">
        <v>1919</v>
      </c>
      <c r="D759" s="2" t="s">
        <v>1920</v>
      </c>
      <c r="E759" s="2">
        <v>42.0</v>
      </c>
      <c r="F759" s="2" t="s">
        <v>29</v>
      </c>
      <c r="G759" s="2" t="s">
        <v>1909</v>
      </c>
      <c r="H759" s="2" t="s">
        <v>56</v>
      </c>
      <c r="I759" s="2" t="s">
        <v>43</v>
      </c>
      <c r="J759" s="2">
        <v>8.0</v>
      </c>
      <c r="K759" s="4">
        <v>25465.31</v>
      </c>
      <c r="L759" s="5">
        <v>203722.48</v>
      </c>
      <c r="N759" s="2" t="str">
        <f>IF(Table1[Quantity] &gt; 2, "Bulk Order", "Standard Order")</f>
        <v>Bulk Order</v>
      </c>
    </row>
    <row r="760" ht="15.75" customHeight="1">
      <c r="A760" s="2" t="s">
        <v>1921</v>
      </c>
      <c r="B760" s="3">
        <v>45914.0</v>
      </c>
      <c r="C760" s="2" t="s">
        <v>1922</v>
      </c>
      <c r="D760" s="2" t="s">
        <v>859</v>
      </c>
      <c r="E760" s="2">
        <v>44.0</v>
      </c>
      <c r="F760" s="2" t="s">
        <v>37</v>
      </c>
      <c r="G760" s="2" t="s">
        <v>1909</v>
      </c>
      <c r="H760" s="2" t="s">
        <v>60</v>
      </c>
      <c r="I760" s="2" t="s">
        <v>43</v>
      </c>
      <c r="J760" s="2">
        <v>2.0</v>
      </c>
      <c r="K760" s="4">
        <v>11127.06</v>
      </c>
      <c r="L760" s="5">
        <v>22254.12</v>
      </c>
      <c r="N760" s="2" t="str">
        <f>IF(Table1[Quantity] &gt; 2, "Bulk Order", "Standard Order")</f>
        <v>Standard Order</v>
      </c>
    </row>
    <row r="761" ht="15.75" customHeight="1">
      <c r="A761" s="2" t="s">
        <v>1923</v>
      </c>
      <c r="B761" s="3">
        <v>45879.0</v>
      </c>
      <c r="C761" s="2" t="s">
        <v>1924</v>
      </c>
      <c r="D761" s="2" t="s">
        <v>1104</v>
      </c>
      <c r="E761" s="2">
        <v>32.0</v>
      </c>
      <c r="F761" s="2" t="s">
        <v>29</v>
      </c>
      <c r="G761" s="2" t="s">
        <v>1909</v>
      </c>
      <c r="H761" s="2" t="s">
        <v>60</v>
      </c>
      <c r="I761" s="2" t="s">
        <v>43</v>
      </c>
      <c r="J761" s="2">
        <v>5.0</v>
      </c>
      <c r="K761" s="4">
        <v>14534.79</v>
      </c>
      <c r="L761" s="5">
        <v>72673.95</v>
      </c>
      <c r="N761" s="2" t="str">
        <f>IF(Table1[Quantity] &gt; 2, "Bulk Order", "Standard Order")</f>
        <v>Bulk Order</v>
      </c>
    </row>
    <row r="762" ht="15.75" customHeight="1">
      <c r="A762" s="2" t="s">
        <v>1925</v>
      </c>
      <c r="B762" s="3">
        <v>45922.0</v>
      </c>
      <c r="C762" s="2" t="s">
        <v>1266</v>
      </c>
      <c r="D762" s="2" t="s">
        <v>579</v>
      </c>
      <c r="E762" s="2">
        <v>58.0</v>
      </c>
      <c r="F762" s="2" t="s">
        <v>37</v>
      </c>
      <c r="G762" s="2" t="s">
        <v>1909</v>
      </c>
      <c r="H762" s="2" t="s">
        <v>74</v>
      </c>
      <c r="I762" s="2" t="s">
        <v>45</v>
      </c>
      <c r="J762" s="2">
        <v>6.0</v>
      </c>
      <c r="K762" s="4">
        <v>16521.44</v>
      </c>
      <c r="L762" s="5">
        <v>99128.64</v>
      </c>
      <c r="N762" s="2" t="str">
        <f>IF(Table1[Quantity] &gt; 2, "Bulk Order", "Standard Order")</f>
        <v>Bulk Order</v>
      </c>
    </row>
    <row r="763" ht="15.75" customHeight="1">
      <c r="A763" s="2" t="s">
        <v>1926</v>
      </c>
      <c r="B763" s="3">
        <v>45909.0</v>
      </c>
      <c r="C763" s="2" t="s">
        <v>1927</v>
      </c>
      <c r="D763" s="2" t="s">
        <v>563</v>
      </c>
      <c r="E763" s="2">
        <v>58.0</v>
      </c>
      <c r="F763" s="2" t="s">
        <v>37</v>
      </c>
      <c r="G763" s="2" t="s">
        <v>1909</v>
      </c>
      <c r="H763" s="2" t="s">
        <v>42</v>
      </c>
      <c r="I763" s="2" t="s">
        <v>41</v>
      </c>
      <c r="J763" s="2">
        <v>10.0</v>
      </c>
      <c r="K763" s="4">
        <v>49367.75</v>
      </c>
      <c r="L763" s="5">
        <v>493677.5</v>
      </c>
      <c r="N763" s="2" t="str">
        <f>IF(Table1[Quantity] &gt; 2, "Bulk Order", "Standard Order")</f>
        <v>Bulk Order</v>
      </c>
    </row>
    <row r="764" ht="15.75" customHeight="1">
      <c r="A764" s="2" t="s">
        <v>1928</v>
      </c>
      <c r="B764" s="3">
        <v>45687.0</v>
      </c>
      <c r="C764" s="2" t="s">
        <v>1929</v>
      </c>
      <c r="D764" s="2" t="s">
        <v>280</v>
      </c>
      <c r="E764" s="2">
        <v>36.0</v>
      </c>
      <c r="F764" s="2" t="s">
        <v>29</v>
      </c>
      <c r="G764" s="2" t="s">
        <v>1909</v>
      </c>
      <c r="H764" s="2" t="s">
        <v>42</v>
      </c>
      <c r="I764" s="2" t="s">
        <v>41</v>
      </c>
      <c r="J764" s="2">
        <v>10.0</v>
      </c>
      <c r="K764" s="4">
        <v>17406.52</v>
      </c>
      <c r="L764" s="5">
        <v>174065.2</v>
      </c>
      <c r="N764" s="2" t="str">
        <f>IF(Table1[Quantity] &gt; 2, "Bulk Order", "Standard Order")</f>
        <v>Bulk Order</v>
      </c>
    </row>
    <row r="765" ht="15.75" customHeight="1">
      <c r="A765" s="2" t="s">
        <v>1930</v>
      </c>
      <c r="B765" s="3">
        <v>45951.0</v>
      </c>
      <c r="C765" s="2" t="s">
        <v>1931</v>
      </c>
      <c r="D765" s="2" t="s">
        <v>1880</v>
      </c>
      <c r="E765" s="2">
        <v>56.0</v>
      </c>
      <c r="F765" s="2" t="s">
        <v>37</v>
      </c>
      <c r="G765" s="2" t="s">
        <v>1909</v>
      </c>
      <c r="H765" s="2" t="s">
        <v>74</v>
      </c>
      <c r="I765" s="2" t="s">
        <v>45</v>
      </c>
      <c r="J765" s="2">
        <v>8.0</v>
      </c>
      <c r="K765" s="4">
        <v>27337.64</v>
      </c>
      <c r="L765" s="5">
        <v>218701.12</v>
      </c>
      <c r="N765" s="2" t="str">
        <f>IF(Table1[Quantity] &gt; 2, "Bulk Order", "Standard Order")</f>
        <v>Bulk Order</v>
      </c>
    </row>
    <row r="766" ht="15.75" customHeight="1">
      <c r="A766" s="2" t="s">
        <v>1932</v>
      </c>
      <c r="B766" s="3">
        <v>45761.0</v>
      </c>
      <c r="C766" s="2" t="s">
        <v>1933</v>
      </c>
      <c r="D766" s="2" t="s">
        <v>1934</v>
      </c>
      <c r="E766" s="2">
        <v>58.0</v>
      </c>
      <c r="F766" s="2" t="s">
        <v>29</v>
      </c>
      <c r="G766" s="2" t="s">
        <v>1909</v>
      </c>
      <c r="H766" s="2" t="s">
        <v>42</v>
      </c>
      <c r="I766" s="2" t="s">
        <v>41</v>
      </c>
      <c r="J766" s="2">
        <v>6.0</v>
      </c>
      <c r="K766" s="4">
        <v>10784.64</v>
      </c>
      <c r="L766" s="5">
        <v>64707.84</v>
      </c>
      <c r="N766" s="2" t="str">
        <f>IF(Table1[Quantity] &gt; 2, "Bulk Order", "Standard Order")</f>
        <v>Bulk Order</v>
      </c>
    </row>
    <row r="767" ht="15.75" customHeight="1">
      <c r="A767" s="2" t="s">
        <v>1935</v>
      </c>
      <c r="B767" s="3">
        <v>45963.0</v>
      </c>
      <c r="C767" s="2" t="s">
        <v>1936</v>
      </c>
      <c r="D767" s="2" t="s">
        <v>1937</v>
      </c>
      <c r="F767" s="2" t="s">
        <v>37</v>
      </c>
      <c r="G767" s="2" t="s">
        <v>1909</v>
      </c>
      <c r="H767" s="2" t="s">
        <v>60</v>
      </c>
      <c r="I767" s="2" t="s">
        <v>43</v>
      </c>
      <c r="J767" s="2">
        <v>5.0</v>
      </c>
      <c r="K767" s="4">
        <v>553.62</v>
      </c>
      <c r="L767" s="5">
        <v>2768.1</v>
      </c>
      <c r="N767" s="2" t="str">
        <f>IF(Table1[Quantity] &gt; 2, "Bulk Order", "Standard Order")</f>
        <v>Bulk Order</v>
      </c>
    </row>
    <row r="768" ht="15.75" customHeight="1">
      <c r="A768" s="2" t="s">
        <v>1938</v>
      </c>
      <c r="B768" s="3">
        <v>45878.0</v>
      </c>
      <c r="C768" s="2" t="s">
        <v>1939</v>
      </c>
      <c r="D768" s="2" t="s">
        <v>1940</v>
      </c>
      <c r="E768" s="2">
        <v>32.0</v>
      </c>
      <c r="F768" s="2" t="s">
        <v>37</v>
      </c>
      <c r="G768" s="2" t="s">
        <v>1909</v>
      </c>
      <c r="H768" s="2" t="s">
        <v>42</v>
      </c>
      <c r="I768" s="2" t="s">
        <v>41</v>
      </c>
      <c r="J768" s="2">
        <v>2.0</v>
      </c>
      <c r="K768" s="4">
        <v>2814.55</v>
      </c>
      <c r="L768" s="5">
        <v>5629.1</v>
      </c>
      <c r="N768" s="2" t="str">
        <f>IF(Table1[Quantity] &gt; 2, "Bulk Order", "Standard Order")</f>
        <v>Standard Order</v>
      </c>
    </row>
    <row r="769" ht="15.75" customHeight="1">
      <c r="A769" s="2" t="s">
        <v>1941</v>
      </c>
      <c r="B769" s="3">
        <v>45918.0</v>
      </c>
      <c r="C769" s="2" t="s">
        <v>1942</v>
      </c>
      <c r="D769" s="2" t="s">
        <v>1943</v>
      </c>
      <c r="E769" s="2">
        <v>29.0</v>
      </c>
      <c r="F769" s="2" t="s">
        <v>37</v>
      </c>
      <c r="G769" s="2" t="s">
        <v>1909</v>
      </c>
      <c r="H769" s="2" t="s">
        <v>42</v>
      </c>
      <c r="I769" s="2" t="s">
        <v>41</v>
      </c>
      <c r="J769" s="2">
        <v>4.0</v>
      </c>
      <c r="K769" s="4">
        <v>36826.88</v>
      </c>
      <c r="L769" s="5">
        <v>147307.52</v>
      </c>
      <c r="N769" s="2" t="str">
        <f>IF(Table1[Quantity] &gt; 2, "Bulk Order", "Standard Order")</f>
        <v>Bulk Order</v>
      </c>
    </row>
    <row r="770" ht="15.75" customHeight="1">
      <c r="A770" s="2" t="s">
        <v>1944</v>
      </c>
      <c r="B770" s="3">
        <v>45743.0</v>
      </c>
      <c r="C770" s="2" t="s">
        <v>1945</v>
      </c>
      <c r="D770" s="2" t="s">
        <v>724</v>
      </c>
      <c r="E770" s="2">
        <v>46.0</v>
      </c>
      <c r="F770" s="2" t="s">
        <v>29</v>
      </c>
      <c r="G770" s="2" t="s">
        <v>1909</v>
      </c>
      <c r="H770" s="2" t="s">
        <v>31</v>
      </c>
      <c r="I770" s="2" t="s">
        <v>32</v>
      </c>
      <c r="J770" s="2">
        <v>2.0</v>
      </c>
      <c r="K770" s="4">
        <v>21391.19</v>
      </c>
      <c r="L770" s="5">
        <v>42782.38</v>
      </c>
      <c r="N770" s="2" t="str">
        <f>IF(Table1[Quantity] &gt; 2, "Bulk Order", "Standard Order")</f>
        <v>Standard Order</v>
      </c>
    </row>
    <row r="771" ht="15.75" customHeight="1">
      <c r="A771" s="2" t="s">
        <v>1946</v>
      </c>
      <c r="B771" s="3">
        <v>46013.0</v>
      </c>
      <c r="C771" s="2" t="s">
        <v>1947</v>
      </c>
      <c r="D771" s="2" t="s">
        <v>1934</v>
      </c>
      <c r="E771" s="2">
        <v>39.0</v>
      </c>
      <c r="F771" s="2" t="s">
        <v>29</v>
      </c>
      <c r="G771" s="2" t="s">
        <v>1909</v>
      </c>
      <c r="H771" s="2" t="s">
        <v>60</v>
      </c>
      <c r="I771" s="2" t="s">
        <v>43</v>
      </c>
      <c r="J771" s="2">
        <v>2.0</v>
      </c>
      <c r="K771" s="4">
        <v>18152.14</v>
      </c>
      <c r="L771" s="5">
        <v>36304.28</v>
      </c>
      <c r="N771" s="2" t="str">
        <f>IF(Table1[Quantity] &gt; 2, "Bulk Order", "Standard Order")</f>
        <v>Standard Order</v>
      </c>
    </row>
    <row r="772" ht="15.75" customHeight="1">
      <c r="A772" s="2" t="s">
        <v>1948</v>
      </c>
      <c r="B772" s="3">
        <v>45821.0</v>
      </c>
      <c r="C772" s="2" t="s">
        <v>1949</v>
      </c>
      <c r="D772" s="2" t="s">
        <v>1950</v>
      </c>
      <c r="E772" s="2">
        <v>34.0</v>
      </c>
      <c r="F772" s="2" t="s">
        <v>29</v>
      </c>
      <c r="G772" s="2" t="s">
        <v>1909</v>
      </c>
      <c r="H772" s="2" t="s">
        <v>64</v>
      </c>
      <c r="I772" s="2" t="s">
        <v>44</v>
      </c>
      <c r="J772" s="2">
        <v>1.0</v>
      </c>
      <c r="K772" s="4">
        <v>17041.21</v>
      </c>
      <c r="L772" s="5">
        <v>17041.21</v>
      </c>
      <c r="N772" s="2" t="str">
        <f>IF(Table1[Quantity] &gt; 2, "Bulk Order", "Standard Order")</f>
        <v>Standard Order</v>
      </c>
    </row>
    <row r="773" ht="15.75" customHeight="1">
      <c r="A773" s="2" t="s">
        <v>1951</v>
      </c>
      <c r="B773" s="3">
        <v>45671.0</v>
      </c>
      <c r="C773" s="2" t="s">
        <v>1952</v>
      </c>
      <c r="D773" s="2" t="s">
        <v>571</v>
      </c>
      <c r="E773" s="2">
        <v>57.0</v>
      </c>
      <c r="F773" s="2" t="s">
        <v>37</v>
      </c>
      <c r="G773" s="2" t="s">
        <v>1909</v>
      </c>
      <c r="H773" s="2" t="s">
        <v>31</v>
      </c>
      <c r="I773" s="2" t="s">
        <v>32</v>
      </c>
      <c r="J773" s="2">
        <v>6.0</v>
      </c>
      <c r="K773" s="4">
        <v>41494.43</v>
      </c>
      <c r="L773" s="5">
        <v>248966.58</v>
      </c>
      <c r="N773" s="2" t="str">
        <f>IF(Table1[Quantity] &gt; 2, "Bulk Order", "Standard Order")</f>
        <v>Bulk Order</v>
      </c>
    </row>
    <row r="774" ht="15.75" customHeight="1">
      <c r="A774" s="2" t="s">
        <v>1953</v>
      </c>
      <c r="B774" s="3">
        <v>45725.0</v>
      </c>
      <c r="C774" s="2" t="s">
        <v>1954</v>
      </c>
      <c r="D774" s="2" t="s">
        <v>641</v>
      </c>
      <c r="E774" s="2">
        <v>33.0</v>
      </c>
      <c r="F774" s="2" t="s">
        <v>37</v>
      </c>
      <c r="G774" s="2" t="s">
        <v>1909</v>
      </c>
      <c r="H774" s="2" t="s">
        <v>56</v>
      </c>
      <c r="I774" s="2" t="s">
        <v>43</v>
      </c>
      <c r="J774" s="2">
        <v>8.0</v>
      </c>
      <c r="K774" s="4">
        <v>21833.32</v>
      </c>
      <c r="L774" s="5">
        <v>174666.56</v>
      </c>
      <c r="N774" s="2" t="str">
        <f>IF(Table1[Quantity] &gt; 2, "Bulk Order", "Standard Order")</f>
        <v>Bulk Order</v>
      </c>
    </row>
    <row r="775" ht="15.75" customHeight="1">
      <c r="A775" s="2" t="s">
        <v>1955</v>
      </c>
      <c r="B775" s="3">
        <v>45990.0</v>
      </c>
      <c r="C775" s="2" t="s">
        <v>1956</v>
      </c>
      <c r="D775" s="2" t="s">
        <v>1957</v>
      </c>
      <c r="E775" s="2">
        <v>20.0</v>
      </c>
      <c r="F775" s="2" t="s">
        <v>37</v>
      </c>
      <c r="G775" s="2" t="s">
        <v>1909</v>
      </c>
      <c r="H775" s="2" t="s">
        <v>31</v>
      </c>
      <c r="I775" s="2" t="s">
        <v>32</v>
      </c>
      <c r="J775" s="2">
        <v>6.0</v>
      </c>
      <c r="K775" s="4">
        <v>40577.1</v>
      </c>
      <c r="L775" s="5">
        <v>243462.6</v>
      </c>
      <c r="N775" s="2" t="str">
        <f>IF(Table1[Quantity] &gt; 2, "Bulk Order", "Standard Order")</f>
        <v>Bulk Order</v>
      </c>
    </row>
    <row r="776" ht="15.75" customHeight="1">
      <c r="A776" s="2" t="s">
        <v>1958</v>
      </c>
      <c r="B776" s="3">
        <v>45698.0</v>
      </c>
      <c r="C776" s="2" t="s">
        <v>1959</v>
      </c>
      <c r="D776" s="2" t="s">
        <v>83</v>
      </c>
      <c r="E776" s="2">
        <v>34.0</v>
      </c>
      <c r="F776" s="2" t="s">
        <v>29</v>
      </c>
      <c r="G776" s="2" t="s">
        <v>1909</v>
      </c>
      <c r="H776" s="2" t="s">
        <v>56</v>
      </c>
      <c r="I776" s="2" t="s">
        <v>43</v>
      </c>
      <c r="J776" s="2">
        <v>7.0</v>
      </c>
      <c r="K776" s="4">
        <v>18967.46</v>
      </c>
      <c r="L776" s="5">
        <v>132772.22</v>
      </c>
      <c r="N776" s="2" t="str">
        <f>IF(Table1[Quantity] &gt; 2, "Bulk Order", "Standard Order")</f>
        <v>Bulk Order</v>
      </c>
    </row>
    <row r="777" ht="15.75" customHeight="1">
      <c r="A777" s="2" t="s">
        <v>1960</v>
      </c>
      <c r="B777" s="3">
        <v>45734.0</v>
      </c>
      <c r="C777" s="2" t="s">
        <v>1961</v>
      </c>
      <c r="D777" s="2" t="s">
        <v>1769</v>
      </c>
      <c r="E777" s="2">
        <v>53.0</v>
      </c>
      <c r="F777" s="2" t="s">
        <v>29</v>
      </c>
      <c r="G777" s="2" t="s">
        <v>1909</v>
      </c>
      <c r="H777" s="2" t="s">
        <v>42</v>
      </c>
      <c r="I777" s="2" t="s">
        <v>41</v>
      </c>
      <c r="J777" s="2">
        <v>5.0</v>
      </c>
      <c r="K777" s="4">
        <v>38233.51</v>
      </c>
      <c r="L777" s="5">
        <v>191167.55</v>
      </c>
      <c r="N777" s="2" t="str">
        <f>IF(Table1[Quantity] &gt; 2, "Bulk Order", "Standard Order")</f>
        <v>Bulk Order</v>
      </c>
    </row>
    <row r="778" ht="15.75" customHeight="1">
      <c r="A778" s="2" t="s">
        <v>1962</v>
      </c>
      <c r="B778" s="3">
        <v>45904.0</v>
      </c>
      <c r="C778" s="2" t="s">
        <v>1963</v>
      </c>
      <c r="D778" s="2" t="s">
        <v>1089</v>
      </c>
      <c r="E778" s="2">
        <v>37.0</v>
      </c>
      <c r="F778" s="2" t="s">
        <v>29</v>
      </c>
      <c r="G778" s="2" t="s">
        <v>1909</v>
      </c>
      <c r="H778" s="2" t="s">
        <v>31</v>
      </c>
      <c r="I778" s="2" t="s">
        <v>32</v>
      </c>
      <c r="J778" s="2">
        <v>7.0</v>
      </c>
      <c r="K778" s="4">
        <v>23674.97</v>
      </c>
      <c r="L778" s="5">
        <v>165724.79</v>
      </c>
      <c r="N778" s="2" t="str">
        <f>IF(Table1[Quantity] &gt; 2, "Bulk Order", "Standard Order")</f>
        <v>Bulk Order</v>
      </c>
    </row>
    <row r="779" ht="15.75" customHeight="1">
      <c r="A779" s="2" t="s">
        <v>1964</v>
      </c>
      <c r="B779" s="3">
        <v>45719.0</v>
      </c>
      <c r="C779" s="2" t="s">
        <v>1965</v>
      </c>
      <c r="D779" s="2" t="s">
        <v>240</v>
      </c>
      <c r="E779" s="2">
        <v>32.0</v>
      </c>
      <c r="F779" s="2" t="s">
        <v>37</v>
      </c>
      <c r="G779" s="2" t="s">
        <v>1909</v>
      </c>
      <c r="H779" s="2" t="s">
        <v>74</v>
      </c>
      <c r="I779" s="2" t="s">
        <v>45</v>
      </c>
      <c r="J779" s="2">
        <v>8.0</v>
      </c>
      <c r="K779" s="4">
        <v>37436.26</v>
      </c>
      <c r="L779" s="5">
        <v>299490.08</v>
      </c>
      <c r="N779" s="2" t="str">
        <f>IF(Table1[Quantity] &gt; 2, "Bulk Order", "Standard Order")</f>
        <v>Bulk Order</v>
      </c>
    </row>
    <row r="780" ht="15.75" customHeight="1">
      <c r="A780" s="2" t="s">
        <v>1966</v>
      </c>
      <c r="B780" s="3">
        <v>45815.0</v>
      </c>
      <c r="C780" s="2" t="s">
        <v>1967</v>
      </c>
      <c r="D780" s="2" t="s">
        <v>181</v>
      </c>
      <c r="E780" s="2">
        <v>41.0</v>
      </c>
      <c r="F780" s="2" t="s">
        <v>37</v>
      </c>
      <c r="G780" s="2" t="s">
        <v>1909</v>
      </c>
      <c r="H780" s="2" t="s">
        <v>31</v>
      </c>
      <c r="I780" s="2" t="s">
        <v>32</v>
      </c>
      <c r="J780" s="2">
        <v>9.0</v>
      </c>
      <c r="K780" s="4">
        <v>49390.42</v>
      </c>
      <c r="L780" s="5">
        <v>444513.78</v>
      </c>
      <c r="N780" s="2" t="str">
        <f>IF(Table1[Quantity] &gt; 2, "Bulk Order", "Standard Order")</f>
        <v>Bulk Order</v>
      </c>
    </row>
    <row r="781" ht="15.75" customHeight="1">
      <c r="A781" s="2" t="s">
        <v>1968</v>
      </c>
      <c r="B781" s="3">
        <v>45696.0</v>
      </c>
      <c r="C781" s="2" t="s">
        <v>1969</v>
      </c>
      <c r="D781" s="2" t="s">
        <v>681</v>
      </c>
      <c r="E781" s="2">
        <v>36.0</v>
      </c>
      <c r="F781" s="2" t="s">
        <v>37</v>
      </c>
      <c r="G781" s="2" t="s">
        <v>1909</v>
      </c>
      <c r="H781" s="2" t="s">
        <v>60</v>
      </c>
      <c r="I781" s="2" t="s">
        <v>43</v>
      </c>
      <c r="J781" s="2">
        <v>8.0</v>
      </c>
      <c r="K781" s="4">
        <v>31510.55</v>
      </c>
      <c r="L781" s="5">
        <v>252084.4</v>
      </c>
      <c r="N781" s="2" t="str">
        <f>IF(Table1[Quantity] &gt; 2, "Bulk Order", "Standard Order")</f>
        <v>Bulk Order</v>
      </c>
    </row>
    <row r="782" ht="15.75" customHeight="1">
      <c r="A782" s="2" t="s">
        <v>1970</v>
      </c>
      <c r="B782" s="3">
        <v>45661.0</v>
      </c>
      <c r="C782" s="2" t="s">
        <v>1971</v>
      </c>
      <c r="D782" s="2" t="s">
        <v>1972</v>
      </c>
      <c r="E782" s="2">
        <v>38.0</v>
      </c>
      <c r="F782" s="2" t="s">
        <v>37</v>
      </c>
      <c r="G782" s="2" t="s">
        <v>1909</v>
      </c>
      <c r="H782" s="2" t="s">
        <v>56</v>
      </c>
      <c r="I782" s="2" t="s">
        <v>43</v>
      </c>
      <c r="J782" s="2">
        <v>1.0</v>
      </c>
      <c r="K782" s="4">
        <v>16633.85</v>
      </c>
      <c r="L782" s="5">
        <v>16633.85</v>
      </c>
      <c r="N782" s="2" t="str">
        <f>IF(Table1[Quantity] &gt; 2, "Bulk Order", "Standard Order")</f>
        <v>Standard Order</v>
      </c>
    </row>
    <row r="783" ht="15.75" customHeight="1">
      <c r="A783" s="2" t="s">
        <v>1973</v>
      </c>
      <c r="B783" s="3">
        <v>46014.0</v>
      </c>
      <c r="C783" s="2" t="s">
        <v>1974</v>
      </c>
      <c r="D783" s="2" t="s">
        <v>907</v>
      </c>
      <c r="E783" s="2">
        <v>44.0</v>
      </c>
      <c r="F783" s="2" t="s">
        <v>29</v>
      </c>
      <c r="G783" s="2" t="s">
        <v>1909</v>
      </c>
      <c r="H783" s="2" t="s">
        <v>31</v>
      </c>
      <c r="I783" s="2" t="s">
        <v>32</v>
      </c>
      <c r="J783" s="2">
        <v>7.0</v>
      </c>
      <c r="K783" s="4">
        <v>25521.26</v>
      </c>
      <c r="L783" s="5">
        <v>178648.82</v>
      </c>
      <c r="N783" s="2" t="str">
        <f>IF(Table1[Quantity] &gt; 2, "Bulk Order", "Standard Order")</f>
        <v>Bulk Order</v>
      </c>
    </row>
    <row r="784" ht="15.75" customHeight="1">
      <c r="A784" s="2" t="s">
        <v>1975</v>
      </c>
      <c r="B784" s="3">
        <v>45714.0</v>
      </c>
      <c r="C784" s="2" t="s">
        <v>1976</v>
      </c>
      <c r="D784" s="2" t="s">
        <v>187</v>
      </c>
      <c r="E784" s="2">
        <v>59.0</v>
      </c>
      <c r="F784" s="2" t="s">
        <v>29</v>
      </c>
      <c r="G784" s="2" t="s">
        <v>1909</v>
      </c>
      <c r="H784" s="2" t="s">
        <v>56</v>
      </c>
      <c r="I784" s="2" t="s">
        <v>43</v>
      </c>
      <c r="J784" s="2">
        <v>4.0</v>
      </c>
      <c r="K784" s="4">
        <v>35658.89</v>
      </c>
      <c r="L784" s="5">
        <v>142635.56</v>
      </c>
      <c r="N784" s="2" t="str">
        <f>IF(Table1[Quantity] &gt; 2, "Bulk Order", "Standard Order")</f>
        <v>Bulk Order</v>
      </c>
    </row>
    <row r="785" ht="15.75" customHeight="1">
      <c r="A785" s="2" t="s">
        <v>1977</v>
      </c>
      <c r="B785" s="3">
        <v>45757.0</v>
      </c>
      <c r="C785" s="2" t="s">
        <v>1978</v>
      </c>
      <c r="D785" s="2" t="s">
        <v>1596</v>
      </c>
      <c r="E785" s="2">
        <v>20.0</v>
      </c>
      <c r="F785" s="2" t="s">
        <v>37</v>
      </c>
      <c r="G785" s="2" t="s">
        <v>1909</v>
      </c>
      <c r="H785" s="2" t="s">
        <v>74</v>
      </c>
      <c r="I785" s="2" t="s">
        <v>45</v>
      </c>
      <c r="J785" s="2">
        <v>1.0</v>
      </c>
      <c r="K785" s="4">
        <v>49067.82</v>
      </c>
      <c r="L785" s="5">
        <v>49067.82</v>
      </c>
      <c r="N785" s="2" t="str">
        <f>IF(Table1[Quantity] &gt; 2, "Bulk Order", "Standard Order")</f>
        <v>Standard Order</v>
      </c>
    </row>
    <row r="786" ht="15.75" customHeight="1">
      <c r="A786" s="2" t="s">
        <v>1979</v>
      </c>
      <c r="B786" s="3">
        <v>45827.0</v>
      </c>
      <c r="C786" s="2" t="s">
        <v>1980</v>
      </c>
      <c r="D786" s="2" t="s">
        <v>1981</v>
      </c>
      <c r="E786" s="2">
        <v>63.0</v>
      </c>
      <c r="F786" s="2" t="s">
        <v>29</v>
      </c>
      <c r="G786" s="2" t="s">
        <v>1909</v>
      </c>
      <c r="H786" s="2" t="s">
        <v>74</v>
      </c>
      <c r="I786" s="2" t="s">
        <v>45</v>
      </c>
      <c r="J786" s="2">
        <v>4.0</v>
      </c>
      <c r="K786" s="4">
        <v>21609.52</v>
      </c>
      <c r="L786" s="5">
        <v>86438.08</v>
      </c>
      <c r="N786" s="2" t="str">
        <f>IF(Table1[Quantity] &gt; 2, "Bulk Order", "Standard Order")</f>
        <v>Bulk Order</v>
      </c>
    </row>
    <row r="787" ht="15.75" customHeight="1">
      <c r="A787" s="2" t="s">
        <v>1982</v>
      </c>
      <c r="B787" s="3">
        <v>45962.0</v>
      </c>
      <c r="C787" s="2" t="s">
        <v>1983</v>
      </c>
      <c r="D787" s="2" t="s">
        <v>405</v>
      </c>
      <c r="E787" s="2">
        <v>63.0</v>
      </c>
      <c r="F787" s="2" t="s">
        <v>37</v>
      </c>
      <c r="G787" s="2" t="s">
        <v>1909</v>
      </c>
      <c r="H787" s="2" t="s">
        <v>56</v>
      </c>
      <c r="I787" s="2" t="s">
        <v>43</v>
      </c>
      <c r="J787" s="2">
        <v>6.0</v>
      </c>
      <c r="K787" s="4">
        <v>46679.69</v>
      </c>
      <c r="L787" s="5">
        <v>280078.14</v>
      </c>
      <c r="N787" s="2" t="str">
        <f>IF(Table1[Quantity] &gt; 2, "Bulk Order", "Standard Order")</f>
        <v>Bulk Order</v>
      </c>
    </row>
    <row r="788" ht="15.75" customHeight="1">
      <c r="A788" s="2" t="s">
        <v>1984</v>
      </c>
      <c r="B788" s="3">
        <v>45697.0</v>
      </c>
      <c r="C788" s="2" t="s">
        <v>1985</v>
      </c>
      <c r="D788" s="2" t="s">
        <v>330</v>
      </c>
      <c r="E788" s="2">
        <v>40.0</v>
      </c>
      <c r="F788" s="2" t="s">
        <v>29</v>
      </c>
      <c r="G788" s="2" t="s">
        <v>1909</v>
      </c>
      <c r="H788" s="2" t="s">
        <v>56</v>
      </c>
      <c r="I788" s="2" t="s">
        <v>43</v>
      </c>
      <c r="J788" s="2">
        <v>3.0</v>
      </c>
      <c r="K788" s="4">
        <v>25277.79</v>
      </c>
      <c r="L788" s="5">
        <v>75833.37</v>
      </c>
      <c r="N788" s="2" t="str">
        <f>IF(Table1[Quantity] &gt; 2, "Bulk Order", "Standard Order")</f>
        <v>Bulk Order</v>
      </c>
    </row>
    <row r="789" ht="15.75" customHeight="1">
      <c r="A789" s="2" t="s">
        <v>1986</v>
      </c>
      <c r="B789" s="3">
        <v>45749.0</v>
      </c>
      <c r="C789" s="2" t="s">
        <v>1987</v>
      </c>
      <c r="D789" s="2" t="s">
        <v>444</v>
      </c>
      <c r="E789" s="2">
        <v>42.0</v>
      </c>
      <c r="F789" s="2" t="s">
        <v>37</v>
      </c>
      <c r="G789" s="2" t="s">
        <v>1909</v>
      </c>
      <c r="H789" s="2" t="s">
        <v>60</v>
      </c>
      <c r="I789" s="2" t="s">
        <v>43</v>
      </c>
      <c r="J789" s="2">
        <v>7.0</v>
      </c>
      <c r="K789" s="4">
        <v>46461.17</v>
      </c>
      <c r="L789" s="5">
        <v>325228.19</v>
      </c>
      <c r="N789" s="2" t="str">
        <f>IF(Table1[Quantity] &gt; 2, "Bulk Order", "Standard Order")</f>
        <v>Bulk Order</v>
      </c>
    </row>
    <row r="790" ht="15.75" customHeight="1">
      <c r="A790" s="2" t="s">
        <v>1988</v>
      </c>
      <c r="B790" s="3">
        <v>45779.0</v>
      </c>
      <c r="C790" s="2" t="s">
        <v>1989</v>
      </c>
      <c r="D790" s="2" t="s">
        <v>1696</v>
      </c>
      <c r="E790" s="2">
        <v>47.0</v>
      </c>
      <c r="F790" s="2" t="s">
        <v>29</v>
      </c>
      <c r="G790" s="2" t="s">
        <v>1909</v>
      </c>
      <c r="H790" s="2" t="s">
        <v>74</v>
      </c>
      <c r="I790" s="2" t="s">
        <v>45</v>
      </c>
      <c r="J790" s="2">
        <v>6.0</v>
      </c>
      <c r="K790" s="4">
        <v>43576.14</v>
      </c>
      <c r="L790" s="5">
        <v>261456.84</v>
      </c>
      <c r="N790" s="2" t="str">
        <f>IF(Table1[Quantity] &gt; 2, "Bulk Order", "Standard Order")</f>
        <v>Bulk Order</v>
      </c>
    </row>
    <row r="791" ht="15.75" customHeight="1">
      <c r="A791" s="2" t="s">
        <v>1990</v>
      </c>
      <c r="B791" s="3">
        <v>45958.0</v>
      </c>
      <c r="C791" s="2" t="s">
        <v>1991</v>
      </c>
      <c r="D791" s="2" t="s">
        <v>148</v>
      </c>
      <c r="E791" s="2">
        <v>56.0</v>
      </c>
      <c r="F791" s="2" t="s">
        <v>29</v>
      </c>
      <c r="G791" s="2" t="s">
        <v>1909</v>
      </c>
      <c r="H791" s="2" t="s">
        <v>74</v>
      </c>
      <c r="I791" s="2" t="s">
        <v>45</v>
      </c>
      <c r="J791" s="2">
        <v>6.0</v>
      </c>
      <c r="K791" s="4">
        <v>29255.02</v>
      </c>
      <c r="L791" s="5">
        <v>175530.12</v>
      </c>
      <c r="N791" s="2" t="str">
        <f>IF(Table1[Quantity] &gt; 2, "Bulk Order", "Standard Order")</f>
        <v>Bulk Order</v>
      </c>
    </row>
    <row r="792" ht="15.75" customHeight="1">
      <c r="A792" s="2" t="s">
        <v>1992</v>
      </c>
      <c r="B792" s="3">
        <v>45667.0</v>
      </c>
      <c r="C792" s="2" t="s">
        <v>1748</v>
      </c>
      <c r="D792" s="2" t="s">
        <v>83</v>
      </c>
      <c r="E792" s="2">
        <v>62.0</v>
      </c>
      <c r="F792" s="2" t="s">
        <v>29</v>
      </c>
      <c r="G792" s="2" t="s">
        <v>1909</v>
      </c>
      <c r="H792" s="2" t="s">
        <v>42</v>
      </c>
      <c r="I792" s="2" t="s">
        <v>41</v>
      </c>
      <c r="J792" s="2">
        <v>5.0</v>
      </c>
      <c r="K792" s="4">
        <v>47201.84</v>
      </c>
      <c r="L792" s="5">
        <v>236009.2</v>
      </c>
      <c r="N792" s="2" t="str">
        <f>IF(Table1[Quantity] &gt; 2, "Bulk Order", "Standard Order")</f>
        <v>Bulk Order</v>
      </c>
    </row>
    <row r="793" ht="15.75" customHeight="1">
      <c r="A793" s="2" t="s">
        <v>1993</v>
      </c>
      <c r="B793" s="3">
        <v>45911.0</v>
      </c>
      <c r="C793" s="2" t="s">
        <v>1994</v>
      </c>
      <c r="D793" s="2" t="s">
        <v>243</v>
      </c>
      <c r="E793" s="2">
        <v>22.0</v>
      </c>
      <c r="F793" s="2" t="s">
        <v>29</v>
      </c>
      <c r="G793" s="2" t="s">
        <v>1909</v>
      </c>
      <c r="H793" s="2" t="s">
        <v>42</v>
      </c>
      <c r="I793" s="2" t="s">
        <v>41</v>
      </c>
      <c r="J793" s="2">
        <v>5.0</v>
      </c>
      <c r="K793" s="4">
        <v>36171.66</v>
      </c>
      <c r="L793" s="5">
        <v>180858.3</v>
      </c>
      <c r="N793" s="2" t="str">
        <f>IF(Table1[Quantity] &gt; 2, "Bulk Order", "Standard Order")</f>
        <v>Bulk Order</v>
      </c>
    </row>
    <row r="794" ht="15.75" customHeight="1">
      <c r="A794" s="2" t="s">
        <v>1995</v>
      </c>
      <c r="B794" s="3">
        <v>45815.0</v>
      </c>
      <c r="C794" s="2" t="s">
        <v>427</v>
      </c>
      <c r="D794" s="2" t="s">
        <v>345</v>
      </c>
      <c r="E794" s="2">
        <v>34.0</v>
      </c>
      <c r="F794" s="2" t="s">
        <v>29</v>
      </c>
      <c r="G794" s="2" t="s">
        <v>1909</v>
      </c>
      <c r="H794" s="2" t="s">
        <v>60</v>
      </c>
      <c r="I794" s="2" t="s">
        <v>43</v>
      </c>
      <c r="J794" s="2">
        <v>8.0</v>
      </c>
      <c r="K794" s="4">
        <v>47311.77</v>
      </c>
      <c r="L794" s="5">
        <v>378494.16</v>
      </c>
      <c r="N794" s="2" t="str">
        <f>IF(Table1[Quantity] &gt; 2, "Bulk Order", "Standard Order")</f>
        <v>Bulk Order</v>
      </c>
    </row>
    <row r="795" ht="15.75" customHeight="1">
      <c r="A795" s="2" t="s">
        <v>1996</v>
      </c>
      <c r="B795" s="3">
        <v>45914.0</v>
      </c>
      <c r="C795" s="2" t="s">
        <v>1997</v>
      </c>
      <c r="D795" s="2" t="s">
        <v>1094</v>
      </c>
      <c r="E795" s="2">
        <v>63.0</v>
      </c>
      <c r="F795" s="2" t="s">
        <v>29</v>
      </c>
      <c r="G795" s="2" t="s">
        <v>1909</v>
      </c>
      <c r="H795" s="2" t="s">
        <v>74</v>
      </c>
      <c r="I795" s="2" t="s">
        <v>45</v>
      </c>
      <c r="J795" s="2">
        <v>7.0</v>
      </c>
      <c r="K795" s="4">
        <v>7528.42</v>
      </c>
      <c r="L795" s="5">
        <v>52698.94</v>
      </c>
      <c r="N795" s="2" t="str">
        <f>IF(Table1[Quantity] &gt; 2, "Bulk Order", "Standard Order")</f>
        <v>Bulk Order</v>
      </c>
    </row>
    <row r="796" ht="15.75" customHeight="1">
      <c r="A796" s="2" t="s">
        <v>1998</v>
      </c>
      <c r="B796" s="3">
        <v>45900.0</v>
      </c>
      <c r="C796" s="2" t="s">
        <v>1999</v>
      </c>
      <c r="D796" s="2" t="s">
        <v>542</v>
      </c>
      <c r="E796" s="2">
        <v>22.0</v>
      </c>
      <c r="F796" s="2" t="s">
        <v>29</v>
      </c>
      <c r="G796" s="2" t="s">
        <v>1909</v>
      </c>
      <c r="H796" s="2" t="s">
        <v>56</v>
      </c>
      <c r="I796" s="2" t="s">
        <v>43</v>
      </c>
      <c r="J796" s="2">
        <v>6.0</v>
      </c>
      <c r="K796" s="4">
        <v>17696.96</v>
      </c>
      <c r="L796" s="5">
        <v>106181.76</v>
      </c>
      <c r="N796" s="2" t="str">
        <f>IF(Table1[Quantity] &gt; 2, "Bulk Order", "Standard Order")</f>
        <v>Bulk Order</v>
      </c>
    </row>
    <row r="797" ht="15.75" customHeight="1">
      <c r="A797" s="2" t="s">
        <v>2000</v>
      </c>
      <c r="B797" s="3">
        <v>45878.0</v>
      </c>
      <c r="C797" s="2" t="s">
        <v>2001</v>
      </c>
      <c r="D797" s="2" t="s">
        <v>2002</v>
      </c>
      <c r="E797" s="2">
        <v>30.0</v>
      </c>
      <c r="F797" s="2" t="s">
        <v>37</v>
      </c>
      <c r="G797" s="2" t="s">
        <v>1909</v>
      </c>
      <c r="H797" s="2" t="s">
        <v>74</v>
      </c>
      <c r="I797" s="2" t="s">
        <v>45</v>
      </c>
      <c r="J797" s="2">
        <v>7.0</v>
      </c>
      <c r="K797" s="4">
        <v>1106.55</v>
      </c>
      <c r="L797" s="5">
        <v>7745.85</v>
      </c>
      <c r="N797" s="2" t="str">
        <f>IF(Table1[Quantity] &gt; 2, "Bulk Order", "Standard Order")</f>
        <v>Bulk Order</v>
      </c>
    </row>
    <row r="798" ht="15.75" customHeight="1">
      <c r="A798" s="2" t="s">
        <v>2003</v>
      </c>
      <c r="B798" s="3">
        <v>45743.0</v>
      </c>
      <c r="C798" s="2" t="s">
        <v>2004</v>
      </c>
      <c r="D798" s="2" t="s">
        <v>139</v>
      </c>
      <c r="E798" s="2">
        <v>36.0</v>
      </c>
      <c r="F798" s="2" t="s">
        <v>37</v>
      </c>
      <c r="G798" s="2" t="s">
        <v>1909</v>
      </c>
      <c r="H798" s="2" t="s">
        <v>64</v>
      </c>
      <c r="I798" s="2" t="s">
        <v>44</v>
      </c>
      <c r="J798" s="2">
        <v>6.0</v>
      </c>
      <c r="K798" s="4">
        <v>39075.07</v>
      </c>
      <c r="L798" s="5">
        <v>234450.42</v>
      </c>
      <c r="N798" s="2" t="str">
        <f>IF(Table1[Quantity] &gt; 2, "Bulk Order", "Standard Order")</f>
        <v>Bulk Order</v>
      </c>
    </row>
    <row r="799" ht="15.75" customHeight="1">
      <c r="A799" s="2" t="s">
        <v>2005</v>
      </c>
      <c r="B799" s="3">
        <v>45896.0</v>
      </c>
      <c r="C799" s="2" t="s">
        <v>2006</v>
      </c>
      <c r="D799" s="2" t="s">
        <v>169</v>
      </c>
      <c r="E799" s="2">
        <v>40.0</v>
      </c>
      <c r="F799" s="2" t="s">
        <v>37</v>
      </c>
      <c r="G799" s="2" t="s">
        <v>1909</v>
      </c>
      <c r="H799" s="2" t="s">
        <v>64</v>
      </c>
      <c r="I799" s="2" t="s">
        <v>44</v>
      </c>
      <c r="J799" s="2">
        <v>5.0</v>
      </c>
      <c r="K799" s="4">
        <v>40763.95</v>
      </c>
      <c r="L799" s="5">
        <v>203819.75</v>
      </c>
      <c r="N799" s="2" t="str">
        <f>IF(Table1[Quantity] &gt; 2, "Bulk Order", "Standard Order")</f>
        <v>Bulk Order</v>
      </c>
    </row>
    <row r="800" ht="15.75" customHeight="1">
      <c r="A800" s="2" t="s">
        <v>2007</v>
      </c>
      <c r="B800" s="3">
        <v>45871.0</v>
      </c>
      <c r="C800" s="2" t="s">
        <v>2008</v>
      </c>
      <c r="D800" s="2" t="s">
        <v>735</v>
      </c>
      <c r="E800" s="2">
        <v>52.0</v>
      </c>
      <c r="F800" s="2" t="s">
        <v>29</v>
      </c>
      <c r="G800" s="2" t="s">
        <v>1909</v>
      </c>
      <c r="H800" s="2" t="s">
        <v>64</v>
      </c>
      <c r="I800" s="2" t="s">
        <v>44</v>
      </c>
      <c r="J800" s="2">
        <v>1.0</v>
      </c>
      <c r="K800" s="4">
        <v>3727.43</v>
      </c>
      <c r="L800" s="5">
        <v>3727.43</v>
      </c>
      <c r="N800" s="2" t="str">
        <f>IF(Table1[Quantity] &gt; 2, "Bulk Order", "Standard Order")</f>
        <v>Standard Order</v>
      </c>
    </row>
    <row r="801" ht="15.75" customHeight="1">
      <c r="A801" s="2" t="s">
        <v>2009</v>
      </c>
      <c r="B801" s="3">
        <v>46023.0</v>
      </c>
      <c r="C801" s="2" t="s">
        <v>2010</v>
      </c>
      <c r="D801" s="2" t="s">
        <v>1463</v>
      </c>
      <c r="E801" s="2">
        <v>53.0</v>
      </c>
      <c r="F801" s="2" t="s">
        <v>37</v>
      </c>
      <c r="G801" s="2" t="s">
        <v>1909</v>
      </c>
      <c r="H801" s="2" t="s">
        <v>31</v>
      </c>
      <c r="I801" s="2" t="s">
        <v>32</v>
      </c>
      <c r="J801" s="2">
        <v>4.0</v>
      </c>
      <c r="K801" s="4">
        <v>46771.94</v>
      </c>
      <c r="L801" s="5">
        <v>187087.76</v>
      </c>
      <c r="N801" s="2" t="str">
        <f>IF(Table1[Quantity] &gt; 2, "Bulk Order", "Standard Order")</f>
        <v>Bulk Order</v>
      </c>
    </row>
    <row r="802" ht="15.75" customHeight="1">
      <c r="A802" s="2" t="s">
        <v>2011</v>
      </c>
      <c r="B802" s="3">
        <v>45739.0</v>
      </c>
      <c r="C802" s="2" t="s">
        <v>2012</v>
      </c>
      <c r="D802" s="2" t="s">
        <v>1572</v>
      </c>
      <c r="E802" s="2">
        <v>50.0</v>
      </c>
      <c r="F802" s="2" t="s">
        <v>29</v>
      </c>
      <c r="G802" s="2" t="s">
        <v>1909</v>
      </c>
      <c r="H802" s="2" t="s">
        <v>42</v>
      </c>
      <c r="I802" s="2" t="s">
        <v>41</v>
      </c>
      <c r="J802" s="2">
        <v>3.0</v>
      </c>
      <c r="K802" s="4">
        <v>5803.11</v>
      </c>
      <c r="L802" s="5">
        <v>17409.33</v>
      </c>
      <c r="N802" s="2" t="str">
        <f>IF(Table1[Quantity] &gt; 2, "Bulk Order", "Standard Order")</f>
        <v>Bulk Order</v>
      </c>
    </row>
    <row r="803" ht="15.75" customHeight="1">
      <c r="A803" s="2" t="s">
        <v>2013</v>
      </c>
      <c r="B803" s="3">
        <v>45816.0</v>
      </c>
      <c r="C803" s="2" t="s">
        <v>2014</v>
      </c>
      <c r="D803" s="2" t="s">
        <v>686</v>
      </c>
      <c r="E803" s="2">
        <v>52.0</v>
      </c>
      <c r="F803" s="2" t="s">
        <v>29</v>
      </c>
      <c r="G803" s="2" t="s">
        <v>1909</v>
      </c>
      <c r="H803" s="2" t="s">
        <v>64</v>
      </c>
      <c r="I803" s="2" t="s">
        <v>44</v>
      </c>
      <c r="J803" s="2">
        <v>3.0</v>
      </c>
      <c r="K803" s="4">
        <v>10075.98</v>
      </c>
      <c r="L803" s="5">
        <v>30227.94</v>
      </c>
      <c r="N803" s="2" t="str">
        <f>IF(Table1[Quantity] &gt; 2, "Bulk Order", "Standard Order")</f>
        <v>Bulk Order</v>
      </c>
    </row>
    <row r="804" ht="15.75" customHeight="1">
      <c r="A804" s="2" t="s">
        <v>2015</v>
      </c>
      <c r="B804" s="3">
        <v>45759.0</v>
      </c>
      <c r="C804" s="2" t="s">
        <v>274</v>
      </c>
      <c r="D804" s="2" t="s">
        <v>967</v>
      </c>
      <c r="E804" s="2">
        <v>48.0</v>
      </c>
      <c r="F804" s="2" t="s">
        <v>37</v>
      </c>
      <c r="G804" s="2" t="s">
        <v>1909</v>
      </c>
      <c r="H804" s="2" t="s">
        <v>42</v>
      </c>
      <c r="I804" s="2" t="s">
        <v>41</v>
      </c>
      <c r="J804" s="2">
        <v>9.0</v>
      </c>
      <c r="K804" s="4">
        <v>45988.02</v>
      </c>
      <c r="L804" s="5">
        <v>413892.18</v>
      </c>
      <c r="N804" s="2" t="str">
        <f>IF(Table1[Quantity] &gt; 2, "Bulk Order", "Standard Order")</f>
        <v>Bulk Order</v>
      </c>
    </row>
    <row r="805" ht="15.75" customHeight="1">
      <c r="A805" s="2" t="s">
        <v>2016</v>
      </c>
      <c r="B805" s="3">
        <v>45775.0</v>
      </c>
      <c r="C805" s="2" t="s">
        <v>1591</v>
      </c>
      <c r="D805" s="2" t="s">
        <v>937</v>
      </c>
      <c r="E805" s="2">
        <v>55.0</v>
      </c>
      <c r="F805" s="2" t="s">
        <v>37</v>
      </c>
      <c r="G805" s="2" t="s">
        <v>1909</v>
      </c>
      <c r="H805" s="2" t="s">
        <v>60</v>
      </c>
      <c r="I805" s="2" t="s">
        <v>43</v>
      </c>
      <c r="J805" s="2">
        <v>8.0</v>
      </c>
      <c r="K805" s="4">
        <v>22233.15</v>
      </c>
      <c r="L805" s="5">
        <v>177865.2</v>
      </c>
      <c r="N805" s="2" t="str">
        <f>IF(Table1[Quantity] &gt; 2, "Bulk Order", "Standard Order")</f>
        <v>Bulk Order</v>
      </c>
    </row>
    <row r="806" ht="15.75" customHeight="1">
      <c r="A806" s="2" t="s">
        <v>2017</v>
      </c>
      <c r="B806" s="3">
        <v>46009.0</v>
      </c>
      <c r="C806" s="2" t="s">
        <v>1811</v>
      </c>
      <c r="D806" s="2" t="s">
        <v>776</v>
      </c>
      <c r="E806" s="2">
        <v>31.0</v>
      </c>
      <c r="F806" s="2" t="s">
        <v>29</v>
      </c>
      <c r="G806" s="2" t="s">
        <v>1909</v>
      </c>
      <c r="H806" s="2" t="s">
        <v>64</v>
      </c>
      <c r="I806" s="2" t="s">
        <v>44</v>
      </c>
      <c r="J806" s="2">
        <v>5.0</v>
      </c>
      <c r="K806" s="4">
        <v>10932.32</v>
      </c>
      <c r="L806" s="5">
        <v>54661.6</v>
      </c>
      <c r="N806" s="2" t="str">
        <f>IF(Table1[Quantity] &gt; 2, "Bulk Order", "Standard Order")</f>
        <v>Bulk Order</v>
      </c>
    </row>
    <row r="807" ht="15.75" customHeight="1">
      <c r="A807" s="2" t="s">
        <v>2018</v>
      </c>
      <c r="B807" s="3">
        <v>45683.0</v>
      </c>
      <c r="C807" s="2" t="s">
        <v>2019</v>
      </c>
      <c r="D807" s="2" t="s">
        <v>1097</v>
      </c>
      <c r="E807" s="2">
        <v>37.0</v>
      </c>
      <c r="F807" s="2" t="s">
        <v>37</v>
      </c>
      <c r="G807" s="2" t="s">
        <v>1909</v>
      </c>
      <c r="H807" s="2" t="s">
        <v>56</v>
      </c>
      <c r="I807" s="2" t="s">
        <v>43</v>
      </c>
      <c r="J807" s="2">
        <v>10.0</v>
      </c>
      <c r="K807" s="4">
        <v>12839.38</v>
      </c>
      <c r="L807" s="5">
        <v>128393.8</v>
      </c>
      <c r="N807" s="2" t="str">
        <f>IF(Table1[Quantity] &gt; 2, "Bulk Order", "Standard Order")</f>
        <v>Bulk Order</v>
      </c>
    </row>
    <row r="808" ht="15.75" customHeight="1">
      <c r="A808" s="2" t="s">
        <v>2020</v>
      </c>
      <c r="B808" s="3">
        <v>45929.0</v>
      </c>
      <c r="C808" s="2" t="s">
        <v>2021</v>
      </c>
      <c r="D808" s="2" t="s">
        <v>510</v>
      </c>
      <c r="E808" s="2">
        <v>64.0</v>
      </c>
      <c r="F808" s="2" t="s">
        <v>29</v>
      </c>
      <c r="G808" s="2" t="s">
        <v>1909</v>
      </c>
      <c r="H808" s="2" t="s">
        <v>42</v>
      </c>
      <c r="I808" s="2" t="s">
        <v>41</v>
      </c>
      <c r="J808" s="2">
        <v>5.0</v>
      </c>
      <c r="K808" s="4">
        <v>21152.92</v>
      </c>
      <c r="L808" s="5">
        <v>105764.6</v>
      </c>
      <c r="N808" s="2" t="str">
        <f>IF(Table1[Quantity] &gt; 2, "Bulk Order", "Standard Order")</f>
        <v>Bulk Order</v>
      </c>
    </row>
    <row r="809" ht="15.75" customHeight="1">
      <c r="A809" s="2" t="s">
        <v>2022</v>
      </c>
      <c r="B809" s="3">
        <v>45945.0</v>
      </c>
      <c r="C809" s="2" t="s">
        <v>2023</v>
      </c>
      <c r="D809" s="2" t="s">
        <v>877</v>
      </c>
      <c r="E809" s="2">
        <v>40.0</v>
      </c>
      <c r="F809" s="2" t="s">
        <v>29</v>
      </c>
      <c r="G809" s="2" t="s">
        <v>1909</v>
      </c>
      <c r="H809" s="2" t="s">
        <v>74</v>
      </c>
      <c r="I809" s="2" t="s">
        <v>45</v>
      </c>
      <c r="J809" s="2">
        <v>10.0</v>
      </c>
      <c r="K809" s="4">
        <v>7876.48</v>
      </c>
      <c r="L809" s="5">
        <v>78764.8</v>
      </c>
      <c r="N809" s="2" t="str">
        <f>IF(Table1[Quantity] &gt; 2, "Bulk Order", "Standard Order")</f>
        <v>Bulk Order</v>
      </c>
    </row>
    <row r="810" ht="15.75" customHeight="1">
      <c r="A810" s="2" t="s">
        <v>2024</v>
      </c>
      <c r="B810" s="3">
        <v>45899.0</v>
      </c>
      <c r="C810" s="2" t="s">
        <v>2025</v>
      </c>
      <c r="D810" s="2" t="s">
        <v>1515</v>
      </c>
      <c r="E810" s="2">
        <v>64.0</v>
      </c>
      <c r="F810" s="2" t="s">
        <v>37</v>
      </c>
      <c r="G810" s="2" t="s">
        <v>1909</v>
      </c>
      <c r="H810" s="2" t="s">
        <v>56</v>
      </c>
      <c r="I810" s="2" t="s">
        <v>43</v>
      </c>
      <c r="J810" s="2">
        <v>6.0</v>
      </c>
      <c r="K810" s="4">
        <v>26179.81</v>
      </c>
      <c r="L810" s="5">
        <v>157078.86</v>
      </c>
      <c r="N810" s="2" t="str">
        <f>IF(Table1[Quantity] &gt; 2, "Bulk Order", "Standard Order")</f>
        <v>Bulk Order</v>
      </c>
    </row>
    <row r="811" ht="15.75" customHeight="1">
      <c r="A811" s="2" t="s">
        <v>2026</v>
      </c>
      <c r="B811" s="3">
        <v>45670.0</v>
      </c>
      <c r="C811" s="2" t="s">
        <v>2027</v>
      </c>
      <c r="D811" s="2" t="s">
        <v>1061</v>
      </c>
      <c r="E811" s="2">
        <v>28.0</v>
      </c>
      <c r="F811" s="2" t="s">
        <v>37</v>
      </c>
      <c r="G811" s="2" t="s">
        <v>1909</v>
      </c>
      <c r="H811" s="2" t="s">
        <v>56</v>
      </c>
      <c r="I811" s="2" t="s">
        <v>43</v>
      </c>
      <c r="J811" s="2">
        <v>2.0</v>
      </c>
      <c r="K811" s="4">
        <v>1793.29</v>
      </c>
      <c r="L811" s="5">
        <v>3586.58</v>
      </c>
      <c r="N811" s="2" t="str">
        <f>IF(Table1[Quantity] &gt; 2, "Bulk Order", "Standard Order")</f>
        <v>Standard Order</v>
      </c>
    </row>
    <row r="812" ht="15.75" customHeight="1">
      <c r="A812" s="2" t="s">
        <v>2028</v>
      </c>
      <c r="B812" s="3">
        <v>45752.0</v>
      </c>
      <c r="C812" s="2" t="s">
        <v>2029</v>
      </c>
      <c r="D812" s="2" t="s">
        <v>2030</v>
      </c>
      <c r="E812" s="2">
        <v>37.0</v>
      </c>
      <c r="F812" s="2" t="s">
        <v>37</v>
      </c>
      <c r="G812" s="2" t="s">
        <v>1909</v>
      </c>
      <c r="H812" s="2" t="s">
        <v>64</v>
      </c>
      <c r="I812" s="2" t="s">
        <v>44</v>
      </c>
      <c r="J812" s="2">
        <v>2.0</v>
      </c>
      <c r="K812" s="4">
        <v>36062.36</v>
      </c>
      <c r="L812" s="5">
        <v>72124.72</v>
      </c>
      <c r="N812" s="2" t="str">
        <f>IF(Table1[Quantity] &gt; 2, "Bulk Order", "Standard Order")</f>
        <v>Standard Order</v>
      </c>
    </row>
    <row r="813" ht="15.75" customHeight="1">
      <c r="A813" s="2" t="s">
        <v>2031</v>
      </c>
      <c r="B813" s="3">
        <v>45737.0</v>
      </c>
      <c r="C813" s="2" t="s">
        <v>2032</v>
      </c>
      <c r="D813" s="2" t="s">
        <v>1799</v>
      </c>
      <c r="E813" s="2">
        <v>46.0</v>
      </c>
      <c r="F813" s="2" t="s">
        <v>37</v>
      </c>
      <c r="G813" s="2" t="s">
        <v>1909</v>
      </c>
      <c r="H813" s="2" t="s">
        <v>56</v>
      </c>
      <c r="I813" s="2" t="s">
        <v>43</v>
      </c>
      <c r="J813" s="2">
        <v>2.0</v>
      </c>
      <c r="K813" s="4">
        <v>24194.96</v>
      </c>
      <c r="L813" s="5">
        <v>48389.92</v>
      </c>
      <c r="N813" s="2" t="str">
        <f>IF(Table1[Quantity] &gt; 2, "Bulk Order", "Standard Order")</f>
        <v>Standard Order</v>
      </c>
    </row>
    <row r="814" ht="15.75" customHeight="1">
      <c r="A814" s="2" t="s">
        <v>2033</v>
      </c>
      <c r="B814" s="3">
        <v>46007.0</v>
      </c>
      <c r="C814" s="2" t="s">
        <v>974</v>
      </c>
      <c r="D814" s="2" t="s">
        <v>988</v>
      </c>
      <c r="E814" s="2">
        <v>24.0</v>
      </c>
      <c r="F814" s="2" t="s">
        <v>37</v>
      </c>
      <c r="G814" s="2" t="s">
        <v>1909</v>
      </c>
      <c r="H814" s="2" t="s">
        <v>42</v>
      </c>
      <c r="I814" s="2" t="s">
        <v>41</v>
      </c>
      <c r="J814" s="2">
        <v>10.0</v>
      </c>
      <c r="K814" s="4">
        <v>14441.39</v>
      </c>
      <c r="L814" s="5">
        <v>144413.9</v>
      </c>
      <c r="N814" s="2" t="str">
        <f>IF(Table1[Quantity] &gt; 2, "Bulk Order", "Standard Order")</f>
        <v>Bulk Order</v>
      </c>
    </row>
    <row r="815" ht="15.75" customHeight="1">
      <c r="A815" s="2" t="s">
        <v>2034</v>
      </c>
      <c r="B815" s="3">
        <v>45994.0</v>
      </c>
      <c r="C815" s="2" t="s">
        <v>2035</v>
      </c>
      <c r="D815" s="2" t="s">
        <v>599</v>
      </c>
      <c r="E815" s="2">
        <v>58.0</v>
      </c>
      <c r="F815" s="2" t="s">
        <v>37</v>
      </c>
      <c r="G815" s="2" t="s">
        <v>1909</v>
      </c>
      <c r="H815" s="2" t="s">
        <v>60</v>
      </c>
      <c r="I815" s="2" t="s">
        <v>43</v>
      </c>
      <c r="J815" s="2">
        <v>4.0</v>
      </c>
      <c r="K815" s="4">
        <v>39636.15</v>
      </c>
      <c r="L815" s="5">
        <v>158544.6</v>
      </c>
      <c r="N815" s="2" t="str">
        <f>IF(Table1[Quantity] &gt; 2, "Bulk Order", "Standard Order")</f>
        <v>Bulk Order</v>
      </c>
    </row>
    <row r="816" ht="15.75" customHeight="1">
      <c r="A816" s="2" t="s">
        <v>2036</v>
      </c>
      <c r="B816" s="3">
        <v>45856.0</v>
      </c>
      <c r="C816" s="2" t="s">
        <v>2037</v>
      </c>
      <c r="D816" s="2" t="s">
        <v>249</v>
      </c>
      <c r="E816" s="2">
        <v>33.0</v>
      </c>
      <c r="F816" s="2" t="s">
        <v>29</v>
      </c>
      <c r="G816" s="2" t="s">
        <v>1909</v>
      </c>
      <c r="H816" s="2" t="s">
        <v>64</v>
      </c>
      <c r="I816" s="2" t="s">
        <v>44</v>
      </c>
      <c r="J816" s="2">
        <v>10.0</v>
      </c>
      <c r="K816" s="4">
        <v>6633.6</v>
      </c>
      <c r="L816" s="5">
        <v>66336.0</v>
      </c>
      <c r="N816" s="2" t="str">
        <f>IF(Table1[Quantity] &gt; 2, "Bulk Order", "Standard Order")</f>
        <v>Bulk Order</v>
      </c>
    </row>
    <row r="817" ht="15.75" customHeight="1">
      <c r="A817" s="2" t="s">
        <v>2038</v>
      </c>
      <c r="B817" s="3">
        <v>45934.0</v>
      </c>
      <c r="C817" s="2" t="s">
        <v>2039</v>
      </c>
      <c r="D817" s="2" t="s">
        <v>988</v>
      </c>
      <c r="E817" s="2">
        <v>39.0</v>
      </c>
      <c r="F817" s="2" t="s">
        <v>37</v>
      </c>
      <c r="G817" s="2" t="s">
        <v>1909</v>
      </c>
      <c r="H817" s="2" t="s">
        <v>74</v>
      </c>
      <c r="I817" s="2" t="s">
        <v>45</v>
      </c>
      <c r="J817" s="2">
        <v>5.0</v>
      </c>
      <c r="K817" s="4">
        <v>26522.29</v>
      </c>
      <c r="L817" s="5">
        <v>132611.45</v>
      </c>
      <c r="N817" s="2" t="str">
        <f>IF(Table1[Quantity] &gt; 2, "Bulk Order", "Standard Order")</f>
        <v>Bulk Order</v>
      </c>
    </row>
    <row r="818" ht="15.75" customHeight="1">
      <c r="A818" s="2" t="s">
        <v>2040</v>
      </c>
      <c r="B818" s="3">
        <v>45716.0</v>
      </c>
      <c r="C818" s="2" t="s">
        <v>2041</v>
      </c>
      <c r="D818" s="2" t="s">
        <v>269</v>
      </c>
      <c r="E818" s="2">
        <v>46.0</v>
      </c>
      <c r="F818" s="2" t="s">
        <v>37</v>
      </c>
      <c r="G818" s="2" t="s">
        <v>1909</v>
      </c>
      <c r="H818" s="2" t="s">
        <v>56</v>
      </c>
      <c r="I818" s="2" t="s">
        <v>43</v>
      </c>
      <c r="J818" s="2">
        <v>1.0</v>
      </c>
      <c r="K818" s="4">
        <v>30640.69</v>
      </c>
      <c r="L818" s="5">
        <v>30640.69</v>
      </c>
      <c r="N818" s="2" t="str">
        <f>IF(Table1[Quantity] &gt; 2, "Bulk Order", "Standard Order")</f>
        <v>Standard Order</v>
      </c>
    </row>
    <row r="819" ht="15.75" customHeight="1">
      <c r="A819" s="2" t="s">
        <v>2042</v>
      </c>
      <c r="B819" s="3">
        <v>45662.0</v>
      </c>
      <c r="C819" s="2" t="s">
        <v>2043</v>
      </c>
      <c r="D819" s="2" t="s">
        <v>384</v>
      </c>
      <c r="E819" s="2">
        <v>28.0</v>
      </c>
      <c r="F819" s="2" t="s">
        <v>37</v>
      </c>
      <c r="G819" s="2" t="s">
        <v>1909</v>
      </c>
      <c r="H819" s="2" t="s">
        <v>31</v>
      </c>
      <c r="I819" s="2" t="s">
        <v>32</v>
      </c>
      <c r="J819" s="2">
        <v>1.0</v>
      </c>
      <c r="K819" s="4">
        <v>28812.06</v>
      </c>
      <c r="L819" s="5">
        <v>28812.06</v>
      </c>
      <c r="N819" s="2" t="str">
        <f>IF(Table1[Quantity] &gt; 2, "Bulk Order", "Standard Order")</f>
        <v>Standard Order</v>
      </c>
    </row>
    <row r="820" ht="15.75" customHeight="1">
      <c r="A820" s="2" t="s">
        <v>2044</v>
      </c>
      <c r="B820" s="3">
        <v>45716.0</v>
      </c>
      <c r="C820" s="2" t="s">
        <v>2045</v>
      </c>
      <c r="D820" s="2" t="s">
        <v>1104</v>
      </c>
      <c r="E820" s="2">
        <v>27.0</v>
      </c>
      <c r="F820" s="2" t="s">
        <v>37</v>
      </c>
      <c r="G820" s="2" t="s">
        <v>1909</v>
      </c>
      <c r="H820" s="2" t="s">
        <v>74</v>
      </c>
      <c r="I820" s="2" t="s">
        <v>45</v>
      </c>
      <c r="J820" s="2">
        <v>8.0</v>
      </c>
      <c r="K820" s="4">
        <v>30576.0</v>
      </c>
      <c r="L820" s="5">
        <v>244608.0</v>
      </c>
      <c r="N820" s="2" t="str">
        <f>IF(Table1[Quantity] &gt; 2, "Bulk Order", "Standard Order")</f>
        <v>Bulk Order</v>
      </c>
    </row>
    <row r="821" ht="15.75" customHeight="1">
      <c r="A821" s="2" t="s">
        <v>2046</v>
      </c>
      <c r="B821" s="3">
        <v>45868.0</v>
      </c>
      <c r="C821" s="2" t="s">
        <v>2047</v>
      </c>
      <c r="D821" s="2" t="s">
        <v>638</v>
      </c>
      <c r="E821" s="2">
        <v>65.0</v>
      </c>
      <c r="F821" s="2" t="s">
        <v>29</v>
      </c>
      <c r="G821" s="2" t="s">
        <v>1909</v>
      </c>
      <c r="H821" s="2" t="s">
        <v>42</v>
      </c>
      <c r="I821" s="2" t="s">
        <v>41</v>
      </c>
      <c r="J821" s="2">
        <v>3.0</v>
      </c>
      <c r="K821" s="4">
        <v>41596.85</v>
      </c>
      <c r="L821" s="5">
        <v>124790.55</v>
      </c>
      <c r="N821" s="2" t="str">
        <f>IF(Table1[Quantity] &gt; 2, "Bulk Order", "Standard Order")</f>
        <v>Bulk Order</v>
      </c>
    </row>
    <row r="822" ht="15.75" customHeight="1">
      <c r="A822" s="2" t="s">
        <v>2048</v>
      </c>
      <c r="B822" s="3">
        <v>46014.0</v>
      </c>
      <c r="C822" s="2" t="s">
        <v>2049</v>
      </c>
      <c r="D822" s="2" t="s">
        <v>98</v>
      </c>
      <c r="E822" s="2">
        <v>20.0</v>
      </c>
      <c r="F822" s="2" t="s">
        <v>29</v>
      </c>
      <c r="G822" s="2" t="s">
        <v>1909</v>
      </c>
      <c r="H822" s="2" t="s">
        <v>42</v>
      </c>
      <c r="I822" s="2" t="s">
        <v>41</v>
      </c>
      <c r="J822" s="2">
        <v>8.0</v>
      </c>
      <c r="K822" s="4">
        <v>22060.38</v>
      </c>
      <c r="L822" s="5">
        <v>176483.04</v>
      </c>
      <c r="N822" s="2" t="str">
        <f>IF(Table1[Quantity] &gt; 2, "Bulk Order", "Standard Order")</f>
        <v>Bulk Order</v>
      </c>
    </row>
    <row r="823" ht="15.75" customHeight="1">
      <c r="A823" s="2" t="s">
        <v>2050</v>
      </c>
      <c r="B823" s="3">
        <v>45804.0</v>
      </c>
      <c r="C823" s="2" t="s">
        <v>2051</v>
      </c>
      <c r="D823" s="2" t="s">
        <v>2052</v>
      </c>
      <c r="E823" s="2">
        <v>22.0</v>
      </c>
      <c r="F823" s="2" t="s">
        <v>29</v>
      </c>
      <c r="G823" s="2" t="s">
        <v>1909</v>
      </c>
      <c r="H823" s="2" t="s">
        <v>60</v>
      </c>
      <c r="I823" s="2" t="s">
        <v>43</v>
      </c>
      <c r="J823" s="2">
        <v>6.0</v>
      </c>
      <c r="K823" s="4">
        <v>40480.73</v>
      </c>
      <c r="L823" s="5">
        <v>242884.38</v>
      </c>
      <c r="N823" s="2" t="str">
        <f>IF(Table1[Quantity] &gt; 2, "Bulk Order", "Standard Order")</f>
        <v>Bulk Order</v>
      </c>
    </row>
    <row r="824" ht="15.75" customHeight="1">
      <c r="A824" s="2" t="s">
        <v>2053</v>
      </c>
      <c r="B824" s="3">
        <v>45976.0</v>
      </c>
      <c r="C824" s="2" t="s">
        <v>2054</v>
      </c>
      <c r="D824" s="2" t="s">
        <v>532</v>
      </c>
      <c r="E824" s="2">
        <v>26.0</v>
      </c>
      <c r="F824" s="2" t="s">
        <v>29</v>
      </c>
      <c r="G824" s="2" t="s">
        <v>1909</v>
      </c>
      <c r="H824" s="2" t="s">
        <v>56</v>
      </c>
      <c r="I824" s="2" t="s">
        <v>43</v>
      </c>
      <c r="J824" s="2">
        <v>8.0</v>
      </c>
      <c r="K824" s="4">
        <v>34803.41</v>
      </c>
      <c r="L824" s="5">
        <v>278427.28</v>
      </c>
      <c r="N824" s="2" t="str">
        <f>IF(Table1[Quantity] &gt; 2, "Bulk Order", "Standard Order")</f>
        <v>Bulk Order</v>
      </c>
    </row>
    <row r="825" ht="15.75" customHeight="1">
      <c r="A825" s="2" t="s">
        <v>2055</v>
      </c>
      <c r="B825" s="3">
        <v>45893.0</v>
      </c>
      <c r="C825" s="2" t="s">
        <v>2056</v>
      </c>
      <c r="D825" s="2" t="s">
        <v>2057</v>
      </c>
      <c r="E825" s="2">
        <v>27.0</v>
      </c>
      <c r="F825" s="2" t="s">
        <v>37</v>
      </c>
      <c r="G825" s="2" t="s">
        <v>1909</v>
      </c>
      <c r="H825" s="2" t="s">
        <v>64</v>
      </c>
      <c r="I825" s="2" t="s">
        <v>44</v>
      </c>
      <c r="J825" s="2">
        <v>9.0</v>
      </c>
      <c r="K825" s="4">
        <v>9123.43</v>
      </c>
      <c r="L825" s="5">
        <v>82110.87</v>
      </c>
      <c r="N825" s="2" t="str">
        <f>IF(Table1[Quantity] &gt; 2, "Bulk Order", "Standard Order")</f>
        <v>Bulk Order</v>
      </c>
    </row>
    <row r="826" ht="15.75" customHeight="1">
      <c r="A826" s="2" t="s">
        <v>2058</v>
      </c>
      <c r="B826" s="3">
        <v>46022.0</v>
      </c>
      <c r="C826" s="2" t="s">
        <v>2059</v>
      </c>
      <c r="D826" s="2" t="s">
        <v>824</v>
      </c>
      <c r="E826" s="2">
        <v>45.0</v>
      </c>
      <c r="F826" s="2" t="s">
        <v>29</v>
      </c>
      <c r="G826" s="2" t="s">
        <v>1909</v>
      </c>
      <c r="H826" s="2" t="s">
        <v>74</v>
      </c>
      <c r="I826" s="2" t="s">
        <v>45</v>
      </c>
      <c r="J826" s="2">
        <v>2.0</v>
      </c>
      <c r="K826" s="4">
        <v>47693.33</v>
      </c>
      <c r="L826" s="5">
        <v>95386.66</v>
      </c>
      <c r="N826" s="2" t="str">
        <f>IF(Table1[Quantity] &gt; 2, "Bulk Order", "Standard Order")</f>
        <v>Standard Order</v>
      </c>
    </row>
    <row r="827" ht="15.75" customHeight="1">
      <c r="A827" s="2" t="s">
        <v>2060</v>
      </c>
      <c r="B827" s="3">
        <v>46010.0</v>
      </c>
      <c r="C827" s="2" t="s">
        <v>2061</v>
      </c>
      <c r="D827" s="2" t="s">
        <v>83</v>
      </c>
      <c r="E827" s="2">
        <v>65.0</v>
      </c>
      <c r="F827" s="2" t="s">
        <v>29</v>
      </c>
      <c r="G827" s="2" t="s">
        <v>1909</v>
      </c>
      <c r="H827" s="2" t="s">
        <v>31</v>
      </c>
      <c r="I827" s="2" t="s">
        <v>32</v>
      </c>
      <c r="J827" s="2">
        <v>3.0</v>
      </c>
      <c r="K827" s="4">
        <v>48879.87</v>
      </c>
      <c r="L827" s="5">
        <v>146639.61</v>
      </c>
      <c r="N827" s="2" t="str">
        <f>IF(Table1[Quantity] &gt; 2, "Bulk Order", "Standard Order")</f>
        <v>Bulk Order</v>
      </c>
    </row>
    <row r="828" ht="15.75" customHeight="1">
      <c r="A828" s="2" t="s">
        <v>2062</v>
      </c>
      <c r="B828" s="3">
        <v>45743.0</v>
      </c>
      <c r="C828" s="2" t="s">
        <v>2063</v>
      </c>
      <c r="D828" s="2" t="s">
        <v>2064</v>
      </c>
      <c r="E828" s="2">
        <v>22.0</v>
      </c>
      <c r="F828" s="2" t="s">
        <v>29</v>
      </c>
      <c r="G828" s="2" t="s">
        <v>1909</v>
      </c>
      <c r="H828" s="2" t="s">
        <v>56</v>
      </c>
      <c r="I828" s="2" t="s">
        <v>43</v>
      </c>
      <c r="J828" s="2">
        <v>8.0</v>
      </c>
      <c r="K828" s="4">
        <v>12225.23</v>
      </c>
      <c r="L828" s="5">
        <v>97801.84</v>
      </c>
      <c r="N828" s="2" t="str">
        <f>IF(Table1[Quantity] &gt; 2, "Bulk Order", "Standard Order")</f>
        <v>Bulk Order</v>
      </c>
    </row>
    <row r="829" ht="15.75" customHeight="1">
      <c r="A829" s="2" t="s">
        <v>2065</v>
      </c>
      <c r="B829" s="3">
        <v>45816.0</v>
      </c>
      <c r="C829" s="2" t="s">
        <v>2066</v>
      </c>
      <c r="D829" s="2" t="s">
        <v>130</v>
      </c>
      <c r="E829" s="2">
        <v>18.0</v>
      </c>
      <c r="F829" s="2" t="s">
        <v>29</v>
      </c>
      <c r="G829" s="2" t="s">
        <v>1909</v>
      </c>
      <c r="H829" s="2" t="s">
        <v>31</v>
      </c>
      <c r="I829" s="2" t="s">
        <v>32</v>
      </c>
      <c r="J829" s="2">
        <v>8.0</v>
      </c>
      <c r="K829" s="4">
        <v>45296.32</v>
      </c>
      <c r="L829" s="5">
        <v>362370.56</v>
      </c>
      <c r="N829" s="2" t="str">
        <f>IF(Table1[Quantity] &gt; 2, "Bulk Order", "Standard Order")</f>
        <v>Bulk Order</v>
      </c>
    </row>
    <row r="830" ht="15.75" customHeight="1">
      <c r="A830" s="2" t="s">
        <v>2067</v>
      </c>
      <c r="B830" s="3">
        <v>45916.0</v>
      </c>
      <c r="C830" s="2" t="s">
        <v>1196</v>
      </c>
      <c r="D830" s="2" t="s">
        <v>2068</v>
      </c>
      <c r="E830" s="2">
        <v>26.0</v>
      </c>
      <c r="F830" s="2" t="s">
        <v>29</v>
      </c>
      <c r="G830" s="2" t="s">
        <v>1909</v>
      </c>
      <c r="H830" s="2" t="s">
        <v>64</v>
      </c>
      <c r="I830" s="2" t="s">
        <v>44</v>
      </c>
      <c r="J830" s="2">
        <v>7.0</v>
      </c>
      <c r="K830" s="4">
        <v>6887.98</v>
      </c>
      <c r="L830" s="5">
        <v>48215.86</v>
      </c>
      <c r="N830" s="2" t="str">
        <f>IF(Table1[Quantity] &gt; 2, "Bulk Order", "Standard Order")</f>
        <v>Bulk Order</v>
      </c>
    </row>
    <row r="831" ht="15.75" customHeight="1">
      <c r="A831" s="2" t="s">
        <v>2069</v>
      </c>
      <c r="B831" s="3">
        <v>45838.0</v>
      </c>
      <c r="C831" s="2" t="s">
        <v>2070</v>
      </c>
      <c r="D831" s="2" t="s">
        <v>708</v>
      </c>
      <c r="E831" s="2">
        <v>27.0</v>
      </c>
      <c r="F831" s="2" t="s">
        <v>37</v>
      </c>
      <c r="G831" s="2" t="s">
        <v>1909</v>
      </c>
      <c r="H831" s="2" t="s">
        <v>31</v>
      </c>
      <c r="I831" s="2" t="s">
        <v>32</v>
      </c>
      <c r="J831" s="2">
        <v>6.0</v>
      </c>
      <c r="K831" s="4">
        <v>49889.13</v>
      </c>
      <c r="L831" s="5">
        <v>299334.78</v>
      </c>
      <c r="N831" s="2" t="str">
        <f>IF(Table1[Quantity] &gt; 2, "Bulk Order", "Standard Order")</f>
        <v>Bulk Order</v>
      </c>
    </row>
    <row r="832" ht="15.75" customHeight="1">
      <c r="A832" s="2" t="s">
        <v>2071</v>
      </c>
      <c r="B832" s="3">
        <v>46016.0</v>
      </c>
      <c r="C832" s="2" t="s">
        <v>2072</v>
      </c>
      <c r="D832" s="2" t="s">
        <v>2073</v>
      </c>
      <c r="E832" s="2">
        <v>38.0</v>
      </c>
      <c r="F832" s="2" t="s">
        <v>37</v>
      </c>
      <c r="G832" s="2" t="s">
        <v>1909</v>
      </c>
      <c r="H832" s="2" t="s">
        <v>60</v>
      </c>
      <c r="I832" s="2" t="s">
        <v>43</v>
      </c>
      <c r="J832" s="2">
        <v>9.0</v>
      </c>
      <c r="K832" s="4">
        <v>46663.92</v>
      </c>
      <c r="L832" s="5">
        <v>419975.28</v>
      </c>
      <c r="N832" s="2" t="str">
        <f>IF(Table1[Quantity] &gt; 2, "Bulk Order", "Standard Order")</f>
        <v>Bulk Order</v>
      </c>
    </row>
    <row r="833" ht="15.75" customHeight="1">
      <c r="A833" s="2" t="s">
        <v>2074</v>
      </c>
      <c r="B833" s="3">
        <v>45942.0</v>
      </c>
      <c r="C833" s="2" t="s">
        <v>2075</v>
      </c>
      <c r="D833" s="2" t="s">
        <v>812</v>
      </c>
      <c r="E833" s="2">
        <v>40.0</v>
      </c>
      <c r="F833" s="2" t="s">
        <v>29</v>
      </c>
      <c r="G833" s="2" t="s">
        <v>1909</v>
      </c>
      <c r="H833" s="2" t="s">
        <v>42</v>
      </c>
      <c r="I833" s="2" t="s">
        <v>41</v>
      </c>
      <c r="J833" s="2">
        <v>10.0</v>
      </c>
      <c r="K833" s="4">
        <v>39690.68</v>
      </c>
      <c r="L833" s="5">
        <v>396906.8</v>
      </c>
      <c r="N833" s="2" t="str">
        <f>IF(Table1[Quantity] &gt; 2, "Bulk Order", "Standard Order")</f>
        <v>Bulk Order</v>
      </c>
    </row>
    <row r="834" ht="15.75" customHeight="1">
      <c r="A834" s="2" t="s">
        <v>2076</v>
      </c>
      <c r="B834" s="3">
        <v>45760.0</v>
      </c>
      <c r="C834" s="2" t="s">
        <v>2077</v>
      </c>
      <c r="D834" s="2" t="s">
        <v>890</v>
      </c>
      <c r="E834" s="2">
        <v>41.0</v>
      </c>
      <c r="F834" s="2" t="s">
        <v>29</v>
      </c>
      <c r="G834" s="2" t="s">
        <v>1909</v>
      </c>
      <c r="H834" s="2" t="s">
        <v>42</v>
      </c>
      <c r="I834" s="2" t="s">
        <v>41</v>
      </c>
      <c r="J834" s="2">
        <v>8.0</v>
      </c>
      <c r="K834" s="4">
        <v>32749.76</v>
      </c>
      <c r="L834" s="5">
        <v>261998.08</v>
      </c>
      <c r="N834" s="2" t="str">
        <f>IF(Table1[Quantity] &gt; 2, "Bulk Order", "Standard Order")</f>
        <v>Bulk Order</v>
      </c>
    </row>
    <row r="835" ht="15.75" customHeight="1">
      <c r="A835" s="2" t="s">
        <v>2078</v>
      </c>
      <c r="B835" s="3">
        <v>46013.0</v>
      </c>
      <c r="C835" s="2" t="s">
        <v>2079</v>
      </c>
      <c r="D835" s="2" t="s">
        <v>587</v>
      </c>
      <c r="E835" s="2">
        <v>52.0</v>
      </c>
      <c r="F835" s="2" t="s">
        <v>29</v>
      </c>
      <c r="G835" s="2" t="s">
        <v>1909</v>
      </c>
      <c r="H835" s="2" t="s">
        <v>42</v>
      </c>
      <c r="I835" s="2" t="s">
        <v>41</v>
      </c>
      <c r="J835" s="2">
        <v>4.0</v>
      </c>
      <c r="K835" s="4">
        <v>16276.94</v>
      </c>
      <c r="L835" s="5">
        <v>65107.76</v>
      </c>
      <c r="N835" s="2" t="str">
        <f>IF(Table1[Quantity] &gt; 2, "Bulk Order", "Standard Order")</f>
        <v>Bulk Order</v>
      </c>
    </row>
    <row r="836" ht="15.75" customHeight="1">
      <c r="A836" s="2" t="s">
        <v>2080</v>
      </c>
      <c r="B836" s="3">
        <v>45666.0</v>
      </c>
      <c r="C836" s="2" t="s">
        <v>2081</v>
      </c>
      <c r="D836" s="2" t="s">
        <v>1450</v>
      </c>
      <c r="E836" s="2">
        <v>62.0</v>
      </c>
      <c r="F836" s="2" t="s">
        <v>37</v>
      </c>
      <c r="G836" s="2" t="s">
        <v>1909</v>
      </c>
      <c r="H836" s="2" t="s">
        <v>64</v>
      </c>
      <c r="I836" s="2" t="s">
        <v>44</v>
      </c>
      <c r="J836" s="2">
        <v>2.0</v>
      </c>
      <c r="K836" s="4">
        <v>39005.27</v>
      </c>
      <c r="L836" s="5">
        <v>78010.54</v>
      </c>
      <c r="N836" s="2" t="str">
        <f>IF(Table1[Quantity] &gt; 2, "Bulk Order", "Standard Order")</f>
        <v>Standard Order</v>
      </c>
    </row>
    <row r="837" ht="15.75" customHeight="1">
      <c r="A837" s="2" t="s">
        <v>2082</v>
      </c>
      <c r="B837" s="3">
        <v>46023.0</v>
      </c>
      <c r="C837" s="2" t="s">
        <v>2083</v>
      </c>
      <c r="D837" s="2" t="s">
        <v>979</v>
      </c>
      <c r="E837" s="2">
        <v>28.0</v>
      </c>
      <c r="F837" s="2" t="s">
        <v>37</v>
      </c>
      <c r="G837" s="2" t="s">
        <v>1909</v>
      </c>
      <c r="H837" s="2" t="s">
        <v>56</v>
      </c>
      <c r="I837" s="2" t="s">
        <v>43</v>
      </c>
      <c r="J837" s="2">
        <v>6.0</v>
      </c>
      <c r="K837" s="4">
        <v>16346.82</v>
      </c>
      <c r="L837" s="5">
        <v>98080.92</v>
      </c>
      <c r="N837" s="2" t="str">
        <f>IF(Table1[Quantity] &gt; 2, "Bulk Order", "Standard Order")</f>
        <v>Bulk Order</v>
      </c>
    </row>
    <row r="838" ht="15.75" customHeight="1">
      <c r="A838" s="2" t="s">
        <v>2084</v>
      </c>
      <c r="B838" s="3">
        <v>45826.0</v>
      </c>
      <c r="C838" s="2" t="s">
        <v>2085</v>
      </c>
      <c r="D838" s="2" t="s">
        <v>145</v>
      </c>
      <c r="E838" s="2">
        <v>24.0</v>
      </c>
      <c r="F838" s="2" t="s">
        <v>29</v>
      </c>
      <c r="G838" s="2" t="s">
        <v>1909</v>
      </c>
      <c r="H838" s="2" t="s">
        <v>56</v>
      </c>
      <c r="I838" s="2" t="s">
        <v>43</v>
      </c>
      <c r="J838" s="2">
        <v>7.0</v>
      </c>
      <c r="K838" s="4">
        <v>413.2</v>
      </c>
      <c r="L838" s="5">
        <v>2892.4</v>
      </c>
      <c r="N838" s="2" t="str">
        <f>IF(Table1[Quantity] &gt; 2, "Bulk Order", "Standard Order")</f>
        <v>Bulk Order</v>
      </c>
    </row>
    <row r="839" ht="15.75" customHeight="1">
      <c r="A839" s="2" t="s">
        <v>2086</v>
      </c>
      <c r="B839" s="3">
        <v>45725.0</v>
      </c>
      <c r="C839" s="2" t="s">
        <v>2087</v>
      </c>
      <c r="D839" s="2" t="s">
        <v>1219</v>
      </c>
      <c r="E839" s="2">
        <v>26.0</v>
      </c>
      <c r="F839" s="2" t="s">
        <v>29</v>
      </c>
      <c r="G839" s="2" t="s">
        <v>1909</v>
      </c>
      <c r="H839" s="2" t="s">
        <v>64</v>
      </c>
      <c r="I839" s="2" t="s">
        <v>44</v>
      </c>
      <c r="J839" s="2">
        <v>5.0</v>
      </c>
      <c r="K839" s="4">
        <v>21555.12</v>
      </c>
      <c r="L839" s="5">
        <v>107775.6</v>
      </c>
      <c r="N839" s="2" t="str">
        <f>IF(Table1[Quantity] &gt; 2, "Bulk Order", "Standard Order")</f>
        <v>Bulk Order</v>
      </c>
    </row>
    <row r="840" ht="15.75" customHeight="1">
      <c r="A840" s="2" t="s">
        <v>2088</v>
      </c>
      <c r="B840" s="3">
        <v>45828.0</v>
      </c>
      <c r="C840" s="2" t="s">
        <v>2089</v>
      </c>
      <c r="D840" s="2" t="s">
        <v>2090</v>
      </c>
      <c r="E840" s="2">
        <v>31.0</v>
      </c>
      <c r="F840" s="2" t="s">
        <v>29</v>
      </c>
      <c r="G840" s="2" t="s">
        <v>1909</v>
      </c>
      <c r="H840" s="2" t="s">
        <v>56</v>
      </c>
      <c r="I840" s="2" t="s">
        <v>43</v>
      </c>
      <c r="J840" s="2">
        <v>10.0</v>
      </c>
      <c r="K840" s="4">
        <v>21194.59</v>
      </c>
      <c r="L840" s="5">
        <v>211945.9</v>
      </c>
      <c r="N840" s="2" t="str">
        <f>IF(Table1[Quantity] &gt; 2, "Bulk Order", "Standard Order")</f>
        <v>Bulk Order</v>
      </c>
    </row>
    <row r="841" ht="15.75" customHeight="1">
      <c r="A841" s="2" t="s">
        <v>2091</v>
      </c>
      <c r="B841" s="3">
        <v>45696.0</v>
      </c>
      <c r="C841" s="2" t="s">
        <v>2092</v>
      </c>
      <c r="D841" s="2" t="s">
        <v>1712</v>
      </c>
      <c r="E841" s="2">
        <v>62.0</v>
      </c>
      <c r="F841" s="2" t="s">
        <v>29</v>
      </c>
      <c r="G841" s="2" t="s">
        <v>1909</v>
      </c>
      <c r="H841" s="2" t="s">
        <v>64</v>
      </c>
      <c r="I841" s="2" t="s">
        <v>44</v>
      </c>
      <c r="J841" s="2">
        <v>5.0</v>
      </c>
      <c r="K841" s="4">
        <v>7642.55</v>
      </c>
      <c r="L841" s="5">
        <v>38212.75</v>
      </c>
      <c r="N841" s="2" t="str">
        <f>IF(Table1[Quantity] &gt; 2, "Bulk Order", "Standard Order")</f>
        <v>Bulk Order</v>
      </c>
    </row>
    <row r="842" ht="15.75" customHeight="1">
      <c r="A842" s="2" t="s">
        <v>2093</v>
      </c>
      <c r="B842" s="3">
        <v>45865.0</v>
      </c>
      <c r="C842" s="2" t="s">
        <v>2094</v>
      </c>
      <c r="D842" s="2" t="s">
        <v>2095</v>
      </c>
      <c r="E842" s="2">
        <v>63.0</v>
      </c>
      <c r="F842" s="2" t="s">
        <v>29</v>
      </c>
      <c r="G842" s="2" t="s">
        <v>1909</v>
      </c>
      <c r="H842" s="2" t="s">
        <v>42</v>
      </c>
      <c r="I842" s="2" t="s">
        <v>41</v>
      </c>
      <c r="J842" s="2">
        <v>8.0</v>
      </c>
      <c r="K842" s="4">
        <v>46278.59</v>
      </c>
      <c r="L842" s="5">
        <v>370228.72</v>
      </c>
      <c r="N842" s="2" t="str">
        <f>IF(Table1[Quantity] &gt; 2, "Bulk Order", "Standard Order")</f>
        <v>Bulk Order</v>
      </c>
    </row>
    <row r="843" ht="15.75" customHeight="1">
      <c r="A843" s="2" t="s">
        <v>2096</v>
      </c>
      <c r="B843" s="3">
        <v>45788.0</v>
      </c>
      <c r="C843" s="2" t="s">
        <v>2097</v>
      </c>
      <c r="D843" s="2" t="s">
        <v>413</v>
      </c>
      <c r="E843" s="2">
        <v>57.0</v>
      </c>
      <c r="F843" s="2" t="s">
        <v>37</v>
      </c>
      <c r="G843" s="2" t="s">
        <v>1909</v>
      </c>
      <c r="H843" s="2" t="s">
        <v>60</v>
      </c>
      <c r="I843" s="2" t="s">
        <v>43</v>
      </c>
      <c r="J843" s="2">
        <v>4.0</v>
      </c>
      <c r="K843" s="4">
        <v>29976.58</v>
      </c>
      <c r="L843" s="5">
        <v>119906.32</v>
      </c>
      <c r="N843" s="2" t="str">
        <f>IF(Table1[Quantity] &gt; 2, "Bulk Order", "Standard Order")</f>
        <v>Bulk Order</v>
      </c>
    </row>
    <row r="844" ht="15.75" customHeight="1">
      <c r="A844" s="2" t="s">
        <v>2098</v>
      </c>
      <c r="B844" s="3">
        <v>45858.0</v>
      </c>
      <c r="C844" s="2" t="s">
        <v>2099</v>
      </c>
      <c r="D844" s="2" t="s">
        <v>413</v>
      </c>
      <c r="E844" s="2">
        <v>27.0</v>
      </c>
      <c r="F844" s="2" t="s">
        <v>29</v>
      </c>
      <c r="G844" s="2" t="s">
        <v>1909</v>
      </c>
      <c r="H844" s="2" t="s">
        <v>74</v>
      </c>
      <c r="I844" s="2" t="s">
        <v>45</v>
      </c>
      <c r="J844" s="2">
        <v>10.0</v>
      </c>
      <c r="K844" s="4">
        <v>14175.96</v>
      </c>
      <c r="L844" s="5">
        <v>141759.6</v>
      </c>
      <c r="N844" s="2" t="str">
        <f>IF(Table1[Quantity] &gt; 2, "Bulk Order", "Standard Order")</f>
        <v>Bulk Order</v>
      </c>
    </row>
    <row r="845" ht="15.75" customHeight="1">
      <c r="A845" s="2" t="s">
        <v>2100</v>
      </c>
      <c r="B845" s="3">
        <v>45981.0</v>
      </c>
      <c r="C845" s="2" t="s">
        <v>224</v>
      </c>
      <c r="D845" s="2" t="s">
        <v>1920</v>
      </c>
      <c r="E845" s="2">
        <v>58.0</v>
      </c>
      <c r="F845" s="2" t="s">
        <v>37</v>
      </c>
      <c r="G845" s="2" t="s">
        <v>1909</v>
      </c>
      <c r="H845" s="2" t="s">
        <v>74</v>
      </c>
      <c r="I845" s="2" t="s">
        <v>45</v>
      </c>
      <c r="J845" s="2">
        <v>3.0</v>
      </c>
      <c r="K845" s="4">
        <v>257.28</v>
      </c>
      <c r="L845" s="5">
        <v>771.84</v>
      </c>
      <c r="N845" s="2" t="str">
        <f>IF(Table1[Quantity] &gt; 2, "Bulk Order", "Standard Order")</f>
        <v>Bulk Order</v>
      </c>
    </row>
    <row r="846" ht="15.75" customHeight="1">
      <c r="A846" s="2" t="s">
        <v>2101</v>
      </c>
      <c r="B846" s="3">
        <v>45726.0</v>
      </c>
      <c r="C846" s="2" t="s">
        <v>2102</v>
      </c>
      <c r="D846" s="2" t="s">
        <v>2103</v>
      </c>
      <c r="E846" s="2">
        <v>31.0</v>
      </c>
      <c r="F846" s="2" t="s">
        <v>37</v>
      </c>
      <c r="G846" s="2" t="s">
        <v>1909</v>
      </c>
      <c r="H846" s="2" t="s">
        <v>31</v>
      </c>
      <c r="I846" s="2" t="s">
        <v>32</v>
      </c>
      <c r="J846" s="2">
        <v>2.0</v>
      </c>
      <c r="K846" s="4">
        <v>25919.18</v>
      </c>
      <c r="L846" s="5">
        <v>51838.36</v>
      </c>
      <c r="N846" s="2" t="str">
        <f>IF(Table1[Quantity] &gt; 2, "Bulk Order", "Standard Order")</f>
        <v>Standard Order</v>
      </c>
    </row>
    <row r="847" ht="15.75" customHeight="1">
      <c r="A847" s="2" t="s">
        <v>2104</v>
      </c>
      <c r="B847" s="3">
        <v>45781.0</v>
      </c>
      <c r="C847" s="2" t="s">
        <v>2105</v>
      </c>
      <c r="D847" s="2" t="s">
        <v>2106</v>
      </c>
      <c r="E847" s="2">
        <v>53.0</v>
      </c>
      <c r="F847" s="2" t="s">
        <v>37</v>
      </c>
      <c r="G847" s="2" t="s">
        <v>1909</v>
      </c>
      <c r="H847" s="2" t="s">
        <v>74</v>
      </c>
      <c r="I847" s="2" t="s">
        <v>45</v>
      </c>
      <c r="J847" s="2">
        <v>6.0</v>
      </c>
      <c r="K847" s="4">
        <v>22343.44</v>
      </c>
      <c r="L847" s="5">
        <v>134060.64</v>
      </c>
      <c r="N847" s="2" t="str">
        <f>IF(Table1[Quantity] &gt; 2, "Bulk Order", "Standard Order")</f>
        <v>Bulk Order</v>
      </c>
    </row>
    <row r="848" ht="15.75" customHeight="1">
      <c r="A848" s="2" t="s">
        <v>2107</v>
      </c>
      <c r="B848" s="3">
        <v>45909.0</v>
      </c>
      <c r="C848" s="2" t="s">
        <v>2108</v>
      </c>
      <c r="D848" s="2" t="s">
        <v>1211</v>
      </c>
      <c r="E848" s="2">
        <v>62.0</v>
      </c>
      <c r="F848" s="2" t="s">
        <v>29</v>
      </c>
      <c r="G848" s="2" t="s">
        <v>1909</v>
      </c>
      <c r="H848" s="2" t="s">
        <v>56</v>
      </c>
      <c r="I848" s="2" t="s">
        <v>43</v>
      </c>
      <c r="J848" s="2">
        <v>6.0</v>
      </c>
      <c r="K848" s="4">
        <v>1867.81</v>
      </c>
      <c r="L848" s="5">
        <v>11206.86</v>
      </c>
      <c r="N848" s="2" t="str">
        <f>IF(Table1[Quantity] &gt; 2, "Bulk Order", "Standard Order")</f>
        <v>Bulk Order</v>
      </c>
    </row>
    <row r="849" ht="15.75" customHeight="1">
      <c r="A849" s="2" t="s">
        <v>2109</v>
      </c>
      <c r="B849" s="3">
        <v>45980.0</v>
      </c>
      <c r="C849" s="2" t="s">
        <v>2110</v>
      </c>
      <c r="D849" s="2" t="s">
        <v>107</v>
      </c>
      <c r="E849" s="2">
        <v>60.0</v>
      </c>
      <c r="F849" s="2" t="s">
        <v>37</v>
      </c>
      <c r="G849" s="2" t="s">
        <v>1909</v>
      </c>
      <c r="H849" s="2" t="s">
        <v>42</v>
      </c>
      <c r="I849" s="2" t="s">
        <v>41</v>
      </c>
      <c r="J849" s="2">
        <v>9.0</v>
      </c>
      <c r="K849" s="4">
        <v>31686.77</v>
      </c>
      <c r="L849" s="5">
        <v>285180.93</v>
      </c>
      <c r="N849" s="2" t="str">
        <f>IF(Table1[Quantity] &gt; 2, "Bulk Order", "Standard Order")</f>
        <v>Bulk Order</v>
      </c>
    </row>
    <row r="850" ht="15.75" customHeight="1">
      <c r="A850" s="2" t="s">
        <v>2111</v>
      </c>
      <c r="B850" s="3">
        <v>45696.0</v>
      </c>
      <c r="C850" s="2" t="s">
        <v>2112</v>
      </c>
      <c r="D850" s="2" t="s">
        <v>73</v>
      </c>
      <c r="E850" s="2">
        <v>51.0</v>
      </c>
      <c r="F850" s="2" t="s">
        <v>29</v>
      </c>
      <c r="G850" s="2" t="s">
        <v>1909</v>
      </c>
      <c r="H850" s="2" t="s">
        <v>64</v>
      </c>
      <c r="I850" s="2" t="s">
        <v>44</v>
      </c>
      <c r="J850" s="2">
        <v>6.0</v>
      </c>
      <c r="K850" s="4">
        <v>32890.28</v>
      </c>
      <c r="L850" s="5">
        <v>197341.68</v>
      </c>
      <c r="N850" s="2" t="str">
        <f>IF(Table1[Quantity] &gt; 2, "Bulk Order", "Standard Order")</f>
        <v>Bulk Order</v>
      </c>
    </row>
    <row r="851" ht="15.75" customHeight="1">
      <c r="A851" s="2" t="s">
        <v>2113</v>
      </c>
      <c r="B851" s="3">
        <v>45914.0</v>
      </c>
      <c r="C851" s="2" t="s">
        <v>2114</v>
      </c>
      <c r="D851" s="2" t="s">
        <v>745</v>
      </c>
      <c r="E851" s="2">
        <v>37.0</v>
      </c>
      <c r="F851" s="2" t="s">
        <v>37</v>
      </c>
      <c r="G851" s="2" t="s">
        <v>1909</v>
      </c>
      <c r="H851" s="2" t="s">
        <v>31</v>
      </c>
      <c r="I851" s="2" t="s">
        <v>32</v>
      </c>
      <c r="J851" s="2">
        <v>6.0</v>
      </c>
      <c r="K851" s="4">
        <v>27168.79</v>
      </c>
      <c r="L851" s="5">
        <v>163012.74</v>
      </c>
      <c r="N851" s="2" t="str">
        <f>IF(Table1[Quantity] &gt; 2, "Bulk Order", "Standard Order")</f>
        <v>Bulk Order</v>
      </c>
    </row>
    <row r="852" ht="15.75" customHeight="1">
      <c r="A852" s="2" t="s">
        <v>2115</v>
      </c>
      <c r="B852" s="3">
        <v>45941.0</v>
      </c>
      <c r="C852" s="2" t="s">
        <v>2116</v>
      </c>
      <c r="D852" s="2" t="s">
        <v>1227</v>
      </c>
      <c r="E852" s="2">
        <v>37.0</v>
      </c>
      <c r="F852" s="2" t="s">
        <v>37</v>
      </c>
      <c r="G852" s="2" t="s">
        <v>1909</v>
      </c>
      <c r="H852" s="2" t="s">
        <v>74</v>
      </c>
      <c r="I852" s="2" t="s">
        <v>45</v>
      </c>
      <c r="J852" s="2">
        <v>10.0</v>
      </c>
      <c r="K852" s="4">
        <v>19600.31</v>
      </c>
      <c r="L852" s="5">
        <v>196003.1</v>
      </c>
      <c r="N852" s="2" t="str">
        <f>IF(Table1[Quantity] &gt; 2, "Bulk Order", "Standard Order")</f>
        <v>Bulk Order</v>
      </c>
    </row>
    <row r="853" ht="15.75" customHeight="1">
      <c r="A853" s="2" t="s">
        <v>2117</v>
      </c>
      <c r="B853" s="3">
        <v>45988.0</v>
      </c>
      <c r="C853" s="2" t="s">
        <v>2118</v>
      </c>
      <c r="D853" s="2" t="s">
        <v>272</v>
      </c>
      <c r="E853" s="2">
        <v>22.0</v>
      </c>
      <c r="F853" s="2" t="s">
        <v>37</v>
      </c>
      <c r="G853" s="2" t="s">
        <v>1909</v>
      </c>
      <c r="H853" s="2" t="s">
        <v>60</v>
      </c>
      <c r="I853" s="2" t="s">
        <v>43</v>
      </c>
      <c r="J853" s="2">
        <v>7.0</v>
      </c>
      <c r="K853" s="4">
        <v>45703.28</v>
      </c>
      <c r="L853" s="5">
        <v>319922.96</v>
      </c>
      <c r="N853" s="2" t="str">
        <f>IF(Table1[Quantity] &gt; 2, "Bulk Order", "Standard Order")</f>
        <v>Bulk Order</v>
      </c>
    </row>
    <row r="854" ht="15.75" customHeight="1">
      <c r="A854" s="2" t="s">
        <v>2119</v>
      </c>
      <c r="B854" s="3">
        <v>45661.0</v>
      </c>
      <c r="C854" s="2" t="s">
        <v>2120</v>
      </c>
      <c r="D854" s="2" t="s">
        <v>1688</v>
      </c>
      <c r="E854" s="2">
        <v>55.0</v>
      </c>
      <c r="F854" s="2" t="s">
        <v>37</v>
      </c>
      <c r="G854" s="2" t="s">
        <v>1909</v>
      </c>
      <c r="H854" s="2" t="s">
        <v>74</v>
      </c>
      <c r="I854" s="2" t="s">
        <v>45</v>
      </c>
      <c r="J854" s="2">
        <v>5.0</v>
      </c>
      <c r="K854" s="4">
        <v>49147.41</v>
      </c>
      <c r="L854" s="5">
        <v>245737.05</v>
      </c>
      <c r="N854" s="2" t="str">
        <f>IF(Table1[Quantity] &gt; 2, "Bulk Order", "Standard Order")</f>
        <v>Bulk Order</v>
      </c>
    </row>
    <row r="855" ht="15.75" customHeight="1">
      <c r="A855" s="2" t="s">
        <v>2121</v>
      </c>
      <c r="B855" s="3">
        <v>45728.0</v>
      </c>
      <c r="C855" s="2" t="s">
        <v>2122</v>
      </c>
      <c r="D855" s="2" t="s">
        <v>1123</v>
      </c>
      <c r="E855" s="2">
        <v>27.0</v>
      </c>
      <c r="F855" s="2" t="s">
        <v>37</v>
      </c>
      <c r="G855" s="2" t="s">
        <v>1909</v>
      </c>
      <c r="H855" s="2" t="s">
        <v>64</v>
      </c>
      <c r="I855" s="2" t="s">
        <v>44</v>
      </c>
      <c r="J855" s="2">
        <v>4.0</v>
      </c>
      <c r="K855" s="4">
        <v>34969.02</v>
      </c>
      <c r="L855" s="5">
        <v>139876.08</v>
      </c>
      <c r="N855" s="2" t="str">
        <f>IF(Table1[Quantity] &gt; 2, "Bulk Order", "Standard Order")</f>
        <v>Bulk Order</v>
      </c>
    </row>
    <row r="856" ht="15.75" customHeight="1">
      <c r="A856" s="2" t="s">
        <v>2123</v>
      </c>
      <c r="B856" s="3">
        <v>46011.0</v>
      </c>
      <c r="C856" s="2" t="s">
        <v>2124</v>
      </c>
      <c r="D856" s="2" t="s">
        <v>325</v>
      </c>
      <c r="E856" s="2">
        <v>59.0</v>
      </c>
      <c r="F856" s="2" t="s">
        <v>37</v>
      </c>
      <c r="G856" s="2" t="s">
        <v>1909</v>
      </c>
      <c r="H856" s="2" t="s">
        <v>31</v>
      </c>
      <c r="I856" s="2" t="s">
        <v>32</v>
      </c>
      <c r="J856" s="2">
        <v>10.0</v>
      </c>
      <c r="K856" s="4">
        <v>2066.93</v>
      </c>
      <c r="L856" s="5">
        <v>20669.3</v>
      </c>
      <c r="N856" s="2" t="str">
        <f>IF(Table1[Quantity] &gt; 2, "Bulk Order", "Standard Order")</f>
        <v>Bulk Order</v>
      </c>
    </row>
    <row r="857" ht="15.75" customHeight="1">
      <c r="A857" s="2" t="s">
        <v>2125</v>
      </c>
      <c r="B857" s="3">
        <v>45832.0</v>
      </c>
      <c r="C857" s="2" t="s">
        <v>2126</v>
      </c>
      <c r="D857" s="2" t="s">
        <v>1089</v>
      </c>
      <c r="E857" s="2">
        <v>43.0</v>
      </c>
      <c r="F857" s="2" t="s">
        <v>29</v>
      </c>
      <c r="G857" s="2" t="s">
        <v>1909</v>
      </c>
      <c r="H857" s="2" t="s">
        <v>74</v>
      </c>
      <c r="I857" s="2" t="s">
        <v>45</v>
      </c>
      <c r="J857" s="2">
        <v>3.0</v>
      </c>
      <c r="K857" s="4">
        <v>5550.25</v>
      </c>
      <c r="L857" s="5">
        <v>16650.75</v>
      </c>
      <c r="N857" s="2" t="str">
        <f>IF(Table1[Quantity] &gt; 2, "Bulk Order", "Standard Order")</f>
        <v>Bulk Order</v>
      </c>
    </row>
    <row r="858" ht="15.75" customHeight="1">
      <c r="A858" s="2" t="s">
        <v>2127</v>
      </c>
      <c r="B858" s="3">
        <v>45936.0</v>
      </c>
      <c r="C858" s="2" t="s">
        <v>2128</v>
      </c>
      <c r="D858" s="2" t="s">
        <v>1937</v>
      </c>
      <c r="E858" s="2">
        <v>43.0</v>
      </c>
      <c r="F858" s="2" t="s">
        <v>37</v>
      </c>
      <c r="G858" s="2" t="s">
        <v>1909</v>
      </c>
      <c r="H858" s="2" t="s">
        <v>56</v>
      </c>
      <c r="I858" s="2" t="s">
        <v>43</v>
      </c>
      <c r="J858" s="2">
        <v>7.0</v>
      </c>
      <c r="K858" s="4">
        <v>13263.83</v>
      </c>
      <c r="L858" s="5">
        <v>92846.81</v>
      </c>
      <c r="N858" s="2" t="str">
        <f>IF(Table1[Quantity] &gt; 2, "Bulk Order", "Standard Order")</f>
        <v>Bulk Order</v>
      </c>
    </row>
    <row r="859" ht="15.75" customHeight="1">
      <c r="A859" s="2" t="s">
        <v>2129</v>
      </c>
      <c r="B859" s="3">
        <v>45704.0</v>
      </c>
      <c r="C859" s="2" t="s">
        <v>2130</v>
      </c>
      <c r="D859" s="2" t="s">
        <v>2131</v>
      </c>
      <c r="E859" s="2">
        <v>45.0</v>
      </c>
      <c r="F859" s="2" t="s">
        <v>29</v>
      </c>
      <c r="G859" s="2" t="s">
        <v>1909</v>
      </c>
      <c r="H859" s="2" t="s">
        <v>56</v>
      </c>
      <c r="I859" s="2" t="s">
        <v>43</v>
      </c>
      <c r="J859" s="2">
        <v>6.0</v>
      </c>
      <c r="K859" s="4">
        <v>29757.58</v>
      </c>
      <c r="L859" s="5">
        <v>178545.48</v>
      </c>
      <c r="N859" s="2" t="str">
        <f>IF(Table1[Quantity] &gt; 2, "Bulk Order", "Standard Order")</f>
        <v>Bulk Order</v>
      </c>
    </row>
    <row r="860" ht="15.75" customHeight="1">
      <c r="A860" s="2" t="s">
        <v>2132</v>
      </c>
      <c r="B860" s="3">
        <v>45709.0</v>
      </c>
      <c r="C860" s="2" t="s">
        <v>2133</v>
      </c>
      <c r="D860" s="2" t="s">
        <v>521</v>
      </c>
      <c r="E860" s="2">
        <v>51.0</v>
      </c>
      <c r="F860" s="2" t="s">
        <v>37</v>
      </c>
      <c r="G860" s="2" t="s">
        <v>1909</v>
      </c>
      <c r="H860" s="2" t="s">
        <v>60</v>
      </c>
      <c r="I860" s="2" t="s">
        <v>43</v>
      </c>
      <c r="J860" s="2">
        <v>1.0</v>
      </c>
      <c r="K860" s="4">
        <v>47618.43</v>
      </c>
      <c r="L860" s="5">
        <v>47618.43</v>
      </c>
      <c r="N860" s="2" t="str">
        <f>IF(Table1[Quantity] &gt; 2, "Bulk Order", "Standard Order")</f>
        <v>Standard Order</v>
      </c>
    </row>
    <row r="861" ht="15.75" customHeight="1">
      <c r="A861" s="2" t="s">
        <v>2134</v>
      </c>
      <c r="B861" s="3">
        <v>45920.0</v>
      </c>
      <c r="C861" s="2" t="s">
        <v>2135</v>
      </c>
      <c r="D861" s="2" t="s">
        <v>815</v>
      </c>
      <c r="E861" s="2">
        <v>65.0</v>
      </c>
      <c r="F861" s="2" t="s">
        <v>29</v>
      </c>
      <c r="G861" s="2" t="s">
        <v>1909</v>
      </c>
      <c r="H861" s="2" t="s">
        <v>42</v>
      </c>
      <c r="I861" s="2" t="s">
        <v>41</v>
      </c>
      <c r="J861" s="2">
        <v>9.0</v>
      </c>
      <c r="K861" s="4">
        <v>797.71</v>
      </c>
      <c r="L861" s="5">
        <v>7179.39</v>
      </c>
      <c r="N861" s="2" t="str">
        <f>IF(Table1[Quantity] &gt; 2, "Bulk Order", "Standard Order")</f>
        <v>Bulk Order</v>
      </c>
    </row>
    <row r="862" ht="15.75" customHeight="1">
      <c r="A862" s="2" t="s">
        <v>2136</v>
      </c>
      <c r="B862" s="3">
        <v>45687.0</v>
      </c>
      <c r="C862" s="2" t="s">
        <v>2137</v>
      </c>
      <c r="D862" s="2" t="s">
        <v>967</v>
      </c>
      <c r="E862" s="2">
        <v>19.0</v>
      </c>
      <c r="F862" s="2" t="s">
        <v>37</v>
      </c>
      <c r="G862" s="2" t="s">
        <v>1909</v>
      </c>
      <c r="H862" s="2" t="s">
        <v>42</v>
      </c>
      <c r="I862" s="2" t="s">
        <v>41</v>
      </c>
      <c r="J862" s="2">
        <v>5.0</v>
      </c>
      <c r="K862" s="4">
        <v>12334.78</v>
      </c>
      <c r="L862" s="5">
        <v>61673.9</v>
      </c>
      <c r="N862" s="2" t="str">
        <f>IF(Table1[Quantity] &gt; 2, "Bulk Order", "Standard Order")</f>
        <v>Bulk Order</v>
      </c>
    </row>
    <row r="863" ht="15.75" customHeight="1">
      <c r="A863" s="2" t="s">
        <v>2138</v>
      </c>
      <c r="B863" s="3">
        <v>45927.0</v>
      </c>
      <c r="C863" s="2" t="s">
        <v>2139</v>
      </c>
      <c r="D863" s="2" t="s">
        <v>765</v>
      </c>
      <c r="F863" s="2" t="s">
        <v>37</v>
      </c>
      <c r="G863" s="2" t="s">
        <v>1909</v>
      </c>
      <c r="H863" s="2" t="s">
        <v>31</v>
      </c>
      <c r="I863" s="2" t="s">
        <v>32</v>
      </c>
      <c r="J863" s="2">
        <v>10.0</v>
      </c>
      <c r="K863" s="4">
        <v>15891.66</v>
      </c>
      <c r="L863" s="5">
        <v>158916.6</v>
      </c>
      <c r="N863" s="2" t="str">
        <f>IF(Table1[Quantity] &gt; 2, "Bulk Order", "Standard Order")</f>
        <v>Bulk Order</v>
      </c>
    </row>
    <row r="864" ht="15.75" customHeight="1">
      <c r="A864" s="2" t="s">
        <v>2140</v>
      </c>
      <c r="B864" s="3">
        <v>45828.0</v>
      </c>
      <c r="C864" s="2" t="s">
        <v>2141</v>
      </c>
      <c r="D864" s="2" t="s">
        <v>255</v>
      </c>
      <c r="E864" s="2">
        <v>28.0</v>
      </c>
      <c r="F864" s="2" t="s">
        <v>29</v>
      </c>
      <c r="G864" s="2" t="s">
        <v>1909</v>
      </c>
      <c r="H864" s="2" t="s">
        <v>74</v>
      </c>
      <c r="I864" s="2" t="s">
        <v>45</v>
      </c>
      <c r="J864" s="2">
        <v>2.0</v>
      </c>
      <c r="K864" s="4">
        <v>23127.63</v>
      </c>
      <c r="L864" s="5">
        <v>46255.26</v>
      </c>
      <c r="N864" s="2" t="str">
        <f>IF(Table1[Quantity] &gt; 2, "Bulk Order", "Standard Order")</f>
        <v>Standard Order</v>
      </c>
    </row>
    <row r="865" ht="15.75" customHeight="1">
      <c r="A865" s="2" t="s">
        <v>2142</v>
      </c>
      <c r="B865" s="3">
        <v>45661.0</v>
      </c>
      <c r="C865" s="2" t="s">
        <v>2143</v>
      </c>
      <c r="D865" s="2" t="s">
        <v>599</v>
      </c>
      <c r="E865" s="2">
        <v>30.0</v>
      </c>
      <c r="F865" s="2" t="s">
        <v>29</v>
      </c>
      <c r="G865" s="2" t="s">
        <v>1909</v>
      </c>
      <c r="H865" s="2" t="s">
        <v>42</v>
      </c>
      <c r="I865" s="2" t="s">
        <v>41</v>
      </c>
      <c r="J865" s="2">
        <v>3.0</v>
      </c>
      <c r="K865" s="4">
        <v>15090.15</v>
      </c>
      <c r="L865" s="5">
        <v>45270.45</v>
      </c>
      <c r="N865" s="2" t="str">
        <f>IF(Table1[Quantity] &gt; 2, "Bulk Order", "Standard Order")</f>
        <v>Bulk Order</v>
      </c>
    </row>
    <row r="866" ht="15.75" customHeight="1">
      <c r="A866" s="2" t="s">
        <v>2144</v>
      </c>
      <c r="B866" s="3">
        <v>45791.0</v>
      </c>
      <c r="C866" s="2" t="s">
        <v>2145</v>
      </c>
      <c r="D866" s="2" t="s">
        <v>2146</v>
      </c>
      <c r="E866" s="2">
        <v>50.0</v>
      </c>
      <c r="F866" s="2" t="s">
        <v>37</v>
      </c>
      <c r="G866" s="2" t="s">
        <v>1909</v>
      </c>
      <c r="H866" s="2" t="s">
        <v>56</v>
      </c>
      <c r="I866" s="2" t="s">
        <v>43</v>
      </c>
      <c r="J866" s="2">
        <v>2.0</v>
      </c>
      <c r="K866" s="4">
        <v>41544.45</v>
      </c>
      <c r="L866" s="5">
        <v>83088.9</v>
      </c>
      <c r="N866" s="2" t="str">
        <f>IF(Table1[Quantity] &gt; 2, "Bulk Order", "Standard Order")</f>
        <v>Standard Order</v>
      </c>
    </row>
    <row r="867" ht="15.75" customHeight="1">
      <c r="A867" s="2" t="s">
        <v>2147</v>
      </c>
      <c r="B867" s="3">
        <v>45745.0</v>
      </c>
      <c r="C867" s="2" t="s">
        <v>2148</v>
      </c>
      <c r="D867" s="2" t="s">
        <v>486</v>
      </c>
      <c r="E867" s="2">
        <v>23.0</v>
      </c>
      <c r="F867" s="2" t="s">
        <v>29</v>
      </c>
      <c r="G867" s="2" t="s">
        <v>1909</v>
      </c>
      <c r="H867" s="2" t="s">
        <v>31</v>
      </c>
      <c r="I867" s="2" t="s">
        <v>32</v>
      </c>
      <c r="J867" s="2">
        <v>6.0</v>
      </c>
      <c r="K867" s="4">
        <v>20913.85</v>
      </c>
      <c r="L867" s="5">
        <v>125483.1</v>
      </c>
      <c r="N867" s="2" t="str">
        <f>IF(Table1[Quantity] &gt; 2, "Bulk Order", "Standard Order")</f>
        <v>Bulk Order</v>
      </c>
    </row>
    <row r="868" ht="15.75" customHeight="1">
      <c r="A868" s="2" t="s">
        <v>2149</v>
      </c>
      <c r="B868" s="3">
        <v>45666.0</v>
      </c>
      <c r="C868" s="2" t="s">
        <v>2150</v>
      </c>
      <c r="D868" s="2" t="s">
        <v>1211</v>
      </c>
      <c r="E868" s="2">
        <v>53.0</v>
      </c>
      <c r="F868" s="2" t="s">
        <v>29</v>
      </c>
      <c r="G868" s="2" t="s">
        <v>1909</v>
      </c>
      <c r="H868" s="2" t="s">
        <v>60</v>
      </c>
      <c r="I868" s="2" t="s">
        <v>43</v>
      </c>
      <c r="J868" s="2">
        <v>3.0</v>
      </c>
      <c r="K868" s="4">
        <v>33896.35</v>
      </c>
      <c r="L868" s="5">
        <v>101689.05</v>
      </c>
      <c r="N868" s="2" t="str">
        <f>IF(Table1[Quantity] &gt; 2, "Bulk Order", "Standard Order")</f>
        <v>Bulk Order</v>
      </c>
    </row>
    <row r="869" ht="15.75" customHeight="1">
      <c r="A869" s="2" t="s">
        <v>2151</v>
      </c>
      <c r="B869" s="3">
        <v>45818.0</v>
      </c>
      <c r="C869" s="2" t="s">
        <v>443</v>
      </c>
      <c r="D869" s="2" t="s">
        <v>172</v>
      </c>
      <c r="E869" s="2">
        <v>23.0</v>
      </c>
      <c r="F869" s="2" t="s">
        <v>37</v>
      </c>
      <c r="G869" s="2" t="s">
        <v>1909</v>
      </c>
      <c r="H869" s="2" t="s">
        <v>56</v>
      </c>
      <c r="I869" s="2" t="s">
        <v>43</v>
      </c>
      <c r="J869" s="2">
        <v>5.0</v>
      </c>
      <c r="K869" s="4">
        <v>24537.11</v>
      </c>
      <c r="L869" s="5">
        <v>122685.55</v>
      </c>
      <c r="N869" s="2" t="str">
        <f>IF(Table1[Quantity] &gt; 2, "Bulk Order", "Standard Order")</f>
        <v>Bulk Order</v>
      </c>
    </row>
    <row r="870" ht="15.75" customHeight="1">
      <c r="A870" s="2" t="s">
        <v>2152</v>
      </c>
      <c r="B870" s="3">
        <v>45891.0</v>
      </c>
      <c r="C870" s="2" t="s">
        <v>2153</v>
      </c>
      <c r="D870" s="2" t="s">
        <v>1317</v>
      </c>
      <c r="E870" s="2">
        <v>32.0</v>
      </c>
      <c r="F870" s="2" t="s">
        <v>37</v>
      </c>
      <c r="G870" s="2" t="s">
        <v>1909</v>
      </c>
      <c r="H870" s="2" t="s">
        <v>56</v>
      </c>
      <c r="I870" s="2" t="s">
        <v>43</v>
      </c>
      <c r="J870" s="2">
        <v>5.0</v>
      </c>
      <c r="K870" s="4">
        <v>45283.42</v>
      </c>
      <c r="L870" s="5">
        <v>226417.1</v>
      </c>
      <c r="N870" s="2" t="str">
        <f>IF(Table1[Quantity] &gt; 2, "Bulk Order", "Standard Order")</f>
        <v>Bulk Order</v>
      </c>
    </row>
    <row r="871" ht="15.75" customHeight="1">
      <c r="A871" s="2" t="s">
        <v>2154</v>
      </c>
      <c r="B871" s="3">
        <v>45968.0</v>
      </c>
      <c r="C871" s="2" t="s">
        <v>2155</v>
      </c>
      <c r="D871" s="2" t="s">
        <v>1940</v>
      </c>
      <c r="E871" s="2">
        <v>42.0</v>
      </c>
      <c r="F871" s="2" t="s">
        <v>29</v>
      </c>
      <c r="G871" s="2" t="s">
        <v>1909</v>
      </c>
      <c r="H871" s="2" t="s">
        <v>56</v>
      </c>
      <c r="I871" s="2" t="s">
        <v>43</v>
      </c>
      <c r="J871" s="2">
        <v>6.0</v>
      </c>
      <c r="K871" s="4">
        <v>37149.97</v>
      </c>
      <c r="L871" s="5">
        <v>222899.82</v>
      </c>
      <c r="N871" s="2" t="str">
        <f>IF(Table1[Quantity] &gt; 2, "Bulk Order", "Standard Order")</f>
        <v>Bulk Order</v>
      </c>
    </row>
    <row r="872" ht="15.75" customHeight="1">
      <c r="A872" s="2" t="s">
        <v>2156</v>
      </c>
      <c r="B872" s="3">
        <v>45969.0</v>
      </c>
      <c r="C872" s="2" t="s">
        <v>2157</v>
      </c>
      <c r="D872" s="2" t="s">
        <v>336</v>
      </c>
      <c r="E872" s="2">
        <v>57.0</v>
      </c>
      <c r="F872" s="2" t="s">
        <v>37</v>
      </c>
      <c r="G872" s="2" t="s">
        <v>1909</v>
      </c>
      <c r="H872" s="2" t="s">
        <v>64</v>
      </c>
      <c r="I872" s="2" t="s">
        <v>44</v>
      </c>
      <c r="J872" s="2">
        <v>10.0</v>
      </c>
      <c r="K872" s="4">
        <v>1557.12</v>
      </c>
      <c r="L872" s="5">
        <v>15571.2</v>
      </c>
      <c r="N872" s="2" t="str">
        <f>IF(Table1[Quantity] &gt; 2, "Bulk Order", "Standard Order")</f>
        <v>Bulk Order</v>
      </c>
    </row>
    <row r="873" ht="15.75" customHeight="1">
      <c r="A873" s="2" t="s">
        <v>2158</v>
      </c>
      <c r="B873" s="3">
        <v>45744.0</v>
      </c>
      <c r="C873" s="2" t="s">
        <v>2159</v>
      </c>
      <c r="D873" s="2" t="s">
        <v>2160</v>
      </c>
      <c r="E873" s="2">
        <v>21.0</v>
      </c>
      <c r="F873" s="2" t="s">
        <v>37</v>
      </c>
      <c r="G873" s="2" t="s">
        <v>1909</v>
      </c>
      <c r="H873" s="2" t="s">
        <v>42</v>
      </c>
      <c r="I873" s="2" t="s">
        <v>41</v>
      </c>
      <c r="J873" s="2">
        <v>1.0</v>
      </c>
      <c r="K873" s="4">
        <v>38929.37</v>
      </c>
      <c r="L873" s="5">
        <v>38929.37</v>
      </c>
      <c r="N873" s="2" t="str">
        <f>IF(Table1[Quantity] &gt; 2, "Bulk Order", "Standard Order")</f>
        <v>Standard Order</v>
      </c>
    </row>
    <row r="874" ht="15.75" customHeight="1">
      <c r="A874" s="2" t="s">
        <v>2161</v>
      </c>
      <c r="B874" s="3">
        <v>45796.0</v>
      </c>
      <c r="C874" s="2" t="s">
        <v>2162</v>
      </c>
      <c r="D874" s="2" t="s">
        <v>219</v>
      </c>
      <c r="E874" s="2">
        <v>48.0</v>
      </c>
      <c r="F874" s="2" t="s">
        <v>37</v>
      </c>
      <c r="G874" s="2" t="s">
        <v>1909</v>
      </c>
      <c r="H874" s="2" t="s">
        <v>64</v>
      </c>
      <c r="I874" s="2" t="s">
        <v>44</v>
      </c>
      <c r="J874" s="2">
        <v>5.0</v>
      </c>
      <c r="K874" s="4">
        <v>47893.0</v>
      </c>
      <c r="L874" s="5">
        <v>239465.0</v>
      </c>
      <c r="N874" s="2" t="str">
        <f>IF(Table1[Quantity] &gt; 2, "Bulk Order", "Standard Order")</f>
        <v>Bulk Order</v>
      </c>
    </row>
    <row r="875" ht="15.75" customHeight="1">
      <c r="A875" s="2" t="s">
        <v>2163</v>
      </c>
      <c r="B875" s="3">
        <v>45945.0</v>
      </c>
      <c r="C875" s="2" t="s">
        <v>2164</v>
      </c>
      <c r="D875" s="2" t="s">
        <v>735</v>
      </c>
      <c r="E875" s="2">
        <v>45.0</v>
      </c>
      <c r="F875" s="2" t="s">
        <v>37</v>
      </c>
      <c r="G875" s="2" t="s">
        <v>1909</v>
      </c>
      <c r="H875" s="2" t="s">
        <v>56</v>
      </c>
      <c r="I875" s="2" t="s">
        <v>43</v>
      </c>
      <c r="J875" s="2">
        <v>7.0</v>
      </c>
      <c r="K875" s="4">
        <v>9471.49</v>
      </c>
      <c r="L875" s="5">
        <v>66300.43</v>
      </c>
      <c r="N875" s="2" t="str">
        <f>IF(Table1[Quantity] &gt; 2, "Bulk Order", "Standard Order")</f>
        <v>Bulk Order</v>
      </c>
    </row>
    <row r="876" ht="15.75" customHeight="1">
      <c r="A876" s="2" t="s">
        <v>2165</v>
      </c>
      <c r="B876" s="3">
        <v>45858.0</v>
      </c>
      <c r="C876" s="2" t="s">
        <v>2166</v>
      </c>
      <c r="D876" s="2" t="s">
        <v>537</v>
      </c>
      <c r="E876" s="2">
        <v>26.0</v>
      </c>
      <c r="F876" s="2" t="s">
        <v>29</v>
      </c>
      <c r="G876" s="2" t="s">
        <v>1909</v>
      </c>
      <c r="H876" s="2" t="s">
        <v>74</v>
      </c>
      <c r="I876" s="2" t="s">
        <v>45</v>
      </c>
      <c r="J876" s="2">
        <v>2.0</v>
      </c>
      <c r="K876" s="4">
        <v>40130.21</v>
      </c>
      <c r="L876" s="5">
        <v>80260.42</v>
      </c>
      <c r="N876" s="2" t="str">
        <f>IF(Table1[Quantity] &gt; 2, "Bulk Order", "Standard Order")</f>
        <v>Standard Order</v>
      </c>
    </row>
    <row r="877" ht="15.75" customHeight="1">
      <c r="A877" s="2" t="s">
        <v>2167</v>
      </c>
      <c r="B877" s="3">
        <v>46014.0</v>
      </c>
      <c r="C877" s="2" t="s">
        <v>2168</v>
      </c>
      <c r="D877" s="2" t="s">
        <v>944</v>
      </c>
      <c r="E877" s="2">
        <v>55.0</v>
      </c>
      <c r="F877" s="2" t="s">
        <v>37</v>
      </c>
      <c r="G877" s="2" t="s">
        <v>1909</v>
      </c>
      <c r="H877" s="2" t="s">
        <v>56</v>
      </c>
      <c r="I877" s="2" t="s">
        <v>43</v>
      </c>
      <c r="J877" s="2">
        <v>3.0</v>
      </c>
      <c r="K877" s="4">
        <v>21349.35</v>
      </c>
      <c r="L877" s="5">
        <v>64048.05</v>
      </c>
      <c r="N877" s="2" t="str">
        <f>IF(Table1[Quantity] &gt; 2, "Bulk Order", "Standard Order")</f>
        <v>Bulk Order</v>
      </c>
    </row>
    <row r="878" ht="15.75" customHeight="1">
      <c r="A878" s="2" t="s">
        <v>2169</v>
      </c>
      <c r="B878" s="3">
        <v>45699.0</v>
      </c>
      <c r="C878" s="2" t="s">
        <v>2170</v>
      </c>
      <c r="D878" s="2" t="s">
        <v>52</v>
      </c>
      <c r="E878" s="2">
        <v>19.0</v>
      </c>
      <c r="F878" s="2" t="s">
        <v>29</v>
      </c>
      <c r="G878" s="2" t="s">
        <v>1909</v>
      </c>
      <c r="H878" s="2" t="s">
        <v>42</v>
      </c>
      <c r="I878" s="2" t="s">
        <v>41</v>
      </c>
      <c r="J878" s="2">
        <v>4.0</v>
      </c>
      <c r="K878" s="4">
        <v>45273.26</v>
      </c>
      <c r="L878" s="5">
        <v>181093.04</v>
      </c>
      <c r="N878" s="2" t="str">
        <f>IF(Table1[Quantity] &gt; 2, "Bulk Order", "Standard Order")</f>
        <v>Bulk Order</v>
      </c>
    </row>
    <row r="879" ht="15.75" customHeight="1">
      <c r="A879" s="2" t="s">
        <v>2171</v>
      </c>
      <c r="B879" s="3">
        <v>45966.0</v>
      </c>
      <c r="C879" s="2" t="s">
        <v>2172</v>
      </c>
      <c r="D879" s="2" t="s">
        <v>1709</v>
      </c>
      <c r="E879" s="2">
        <v>49.0</v>
      </c>
      <c r="F879" s="2" t="s">
        <v>37</v>
      </c>
      <c r="G879" s="2" t="s">
        <v>1909</v>
      </c>
      <c r="H879" s="2" t="s">
        <v>31</v>
      </c>
      <c r="I879" s="2" t="s">
        <v>32</v>
      </c>
      <c r="J879" s="2">
        <v>3.0</v>
      </c>
      <c r="K879" s="4">
        <v>15350.0</v>
      </c>
      <c r="L879" s="5">
        <v>46050.0</v>
      </c>
      <c r="N879" s="2" t="str">
        <f>IF(Table1[Quantity] &gt; 2, "Bulk Order", "Standard Order")</f>
        <v>Bulk Order</v>
      </c>
    </row>
    <row r="880" ht="15.75" customHeight="1">
      <c r="A880" s="2" t="s">
        <v>2173</v>
      </c>
      <c r="B880" s="3">
        <v>45815.0</v>
      </c>
      <c r="C880" s="2" t="s">
        <v>2174</v>
      </c>
      <c r="D880" s="2" t="s">
        <v>1189</v>
      </c>
      <c r="E880" s="2">
        <v>58.0</v>
      </c>
      <c r="F880" s="2" t="s">
        <v>37</v>
      </c>
      <c r="G880" s="2" t="s">
        <v>1909</v>
      </c>
      <c r="H880" s="2" t="s">
        <v>74</v>
      </c>
      <c r="I880" s="2" t="s">
        <v>45</v>
      </c>
      <c r="J880" s="2">
        <v>9.0</v>
      </c>
      <c r="K880" s="4">
        <v>7148.05</v>
      </c>
      <c r="L880" s="5">
        <v>64332.45</v>
      </c>
      <c r="N880" s="2" t="str">
        <f>IF(Table1[Quantity] &gt; 2, "Bulk Order", "Standard Order")</f>
        <v>Bulk Order</v>
      </c>
    </row>
    <row r="881" ht="15.75" customHeight="1">
      <c r="A881" s="2" t="s">
        <v>2175</v>
      </c>
      <c r="B881" s="3">
        <v>45963.0</v>
      </c>
      <c r="C881" s="2" t="s">
        <v>2176</v>
      </c>
      <c r="D881" s="2" t="s">
        <v>1029</v>
      </c>
      <c r="E881" s="2">
        <v>20.0</v>
      </c>
      <c r="F881" s="2" t="s">
        <v>29</v>
      </c>
      <c r="G881" s="2" t="s">
        <v>1909</v>
      </c>
      <c r="H881" s="2" t="s">
        <v>60</v>
      </c>
      <c r="I881" s="2" t="s">
        <v>43</v>
      </c>
      <c r="J881" s="2">
        <v>8.0</v>
      </c>
      <c r="K881" s="4">
        <v>25411.08</v>
      </c>
      <c r="L881" s="5">
        <v>203288.64</v>
      </c>
      <c r="N881" s="2" t="str">
        <f>IF(Table1[Quantity] &gt; 2, "Bulk Order", "Standard Order")</f>
        <v>Bulk Order</v>
      </c>
    </row>
    <row r="882" ht="15.75" customHeight="1">
      <c r="A882" s="2" t="s">
        <v>2177</v>
      </c>
      <c r="B882" s="3">
        <v>45973.0</v>
      </c>
      <c r="C882" s="2" t="s">
        <v>2178</v>
      </c>
      <c r="D882" s="2" t="s">
        <v>776</v>
      </c>
      <c r="E882" s="2">
        <v>56.0</v>
      </c>
      <c r="F882" s="2" t="s">
        <v>37</v>
      </c>
      <c r="G882" s="2" t="s">
        <v>1909</v>
      </c>
      <c r="H882" s="2" t="s">
        <v>64</v>
      </c>
      <c r="I882" s="2" t="s">
        <v>44</v>
      </c>
      <c r="J882" s="2">
        <v>6.0</v>
      </c>
      <c r="K882" s="4">
        <v>24739.29</v>
      </c>
      <c r="L882" s="5">
        <v>148435.74</v>
      </c>
      <c r="N882" s="2" t="str">
        <f>IF(Table1[Quantity] &gt; 2, "Bulk Order", "Standard Order")</f>
        <v>Bulk Order</v>
      </c>
    </row>
    <row r="883" ht="15.75" customHeight="1">
      <c r="A883" s="2" t="s">
        <v>2179</v>
      </c>
      <c r="B883" s="3">
        <v>45781.0</v>
      </c>
      <c r="C883" s="2" t="s">
        <v>2180</v>
      </c>
      <c r="D883" s="2" t="s">
        <v>1216</v>
      </c>
      <c r="E883" s="2">
        <v>28.0</v>
      </c>
      <c r="F883" s="2" t="s">
        <v>29</v>
      </c>
      <c r="G883" s="2" t="s">
        <v>1909</v>
      </c>
      <c r="H883" s="2" t="s">
        <v>42</v>
      </c>
      <c r="I883" s="2" t="s">
        <v>41</v>
      </c>
      <c r="J883" s="2">
        <v>1.0</v>
      </c>
      <c r="K883" s="4">
        <v>20875.52</v>
      </c>
      <c r="L883" s="5">
        <v>20875.52</v>
      </c>
      <c r="N883" s="2" t="str">
        <f>IF(Table1[Quantity] &gt; 2, "Bulk Order", "Standard Order")</f>
        <v>Standard Order</v>
      </c>
    </row>
    <row r="884" ht="15.75" customHeight="1">
      <c r="A884" s="2" t="s">
        <v>2181</v>
      </c>
      <c r="B884" s="3">
        <v>45967.0</v>
      </c>
      <c r="C884" s="2" t="s">
        <v>2182</v>
      </c>
      <c r="D884" s="2" t="s">
        <v>1197</v>
      </c>
      <c r="E884" s="2">
        <v>29.0</v>
      </c>
      <c r="F884" s="2" t="s">
        <v>29</v>
      </c>
      <c r="G884" s="2" t="s">
        <v>1909</v>
      </c>
      <c r="H884" s="2" t="s">
        <v>56</v>
      </c>
      <c r="I884" s="2" t="s">
        <v>43</v>
      </c>
      <c r="J884" s="2">
        <v>2.0</v>
      </c>
      <c r="K884" s="4">
        <v>29914.46</v>
      </c>
      <c r="L884" s="5">
        <v>59828.92</v>
      </c>
      <c r="N884" s="2" t="str">
        <f>IF(Table1[Quantity] &gt; 2, "Bulk Order", "Standard Order")</f>
        <v>Standard Order</v>
      </c>
    </row>
    <row r="885" ht="15.75" customHeight="1">
      <c r="A885" s="2" t="s">
        <v>2183</v>
      </c>
      <c r="B885" s="3">
        <v>45952.0</v>
      </c>
      <c r="C885" s="2" t="s">
        <v>2182</v>
      </c>
      <c r="D885" s="2" t="s">
        <v>2184</v>
      </c>
      <c r="E885" s="2">
        <v>40.0</v>
      </c>
      <c r="F885" s="2" t="s">
        <v>37</v>
      </c>
      <c r="G885" s="2" t="s">
        <v>1909</v>
      </c>
      <c r="H885" s="2" t="s">
        <v>74</v>
      </c>
      <c r="I885" s="2" t="s">
        <v>45</v>
      </c>
      <c r="J885" s="2">
        <v>10.0</v>
      </c>
      <c r="K885" s="4">
        <v>7627.77</v>
      </c>
      <c r="L885" s="5">
        <v>76277.7</v>
      </c>
      <c r="N885" s="2" t="str">
        <f>IF(Table1[Quantity] &gt; 2, "Bulk Order", "Standard Order")</f>
        <v>Bulk Order</v>
      </c>
    </row>
    <row r="886" ht="15.75" customHeight="1">
      <c r="A886" s="2" t="s">
        <v>2185</v>
      </c>
      <c r="B886" s="3">
        <v>45806.0</v>
      </c>
      <c r="C886" s="2" t="s">
        <v>2186</v>
      </c>
      <c r="D886" s="2" t="s">
        <v>291</v>
      </c>
      <c r="E886" s="2">
        <v>22.0</v>
      </c>
      <c r="F886" s="2" t="s">
        <v>29</v>
      </c>
      <c r="G886" s="2" t="s">
        <v>1909</v>
      </c>
      <c r="H886" s="2" t="s">
        <v>64</v>
      </c>
      <c r="I886" s="2" t="s">
        <v>44</v>
      </c>
      <c r="J886" s="2">
        <v>3.0</v>
      </c>
      <c r="K886" s="4">
        <v>46910.35</v>
      </c>
      <c r="L886" s="5">
        <v>140731.05</v>
      </c>
      <c r="N886" s="2" t="str">
        <f>IF(Table1[Quantity] &gt; 2, "Bulk Order", "Standard Order")</f>
        <v>Bulk Order</v>
      </c>
    </row>
    <row r="887" ht="15.75" customHeight="1">
      <c r="A887" s="2" t="s">
        <v>2187</v>
      </c>
      <c r="B887" s="3">
        <v>45968.0</v>
      </c>
      <c r="C887" s="2" t="s">
        <v>2188</v>
      </c>
      <c r="D887" s="2" t="s">
        <v>154</v>
      </c>
      <c r="E887" s="2">
        <v>46.0</v>
      </c>
      <c r="F887" s="2" t="s">
        <v>29</v>
      </c>
      <c r="G887" s="2" t="s">
        <v>1909</v>
      </c>
      <c r="H887" s="2" t="s">
        <v>64</v>
      </c>
      <c r="I887" s="2" t="s">
        <v>44</v>
      </c>
      <c r="J887" s="2">
        <v>4.0</v>
      </c>
      <c r="K887" s="4">
        <v>36188.72</v>
      </c>
      <c r="L887" s="5">
        <v>144754.88</v>
      </c>
      <c r="N887" s="2" t="str">
        <f>IF(Table1[Quantity] &gt; 2, "Bulk Order", "Standard Order")</f>
        <v>Bulk Order</v>
      </c>
    </row>
    <row r="888" ht="15.75" customHeight="1">
      <c r="A888" s="2" t="s">
        <v>2189</v>
      </c>
      <c r="B888" s="3">
        <v>45761.0</v>
      </c>
      <c r="C888" s="2" t="s">
        <v>2190</v>
      </c>
      <c r="D888" s="2" t="s">
        <v>475</v>
      </c>
      <c r="E888" s="2">
        <v>34.0</v>
      </c>
      <c r="F888" s="2" t="s">
        <v>37</v>
      </c>
      <c r="G888" s="2" t="s">
        <v>1909</v>
      </c>
      <c r="H888" s="2" t="s">
        <v>31</v>
      </c>
      <c r="I888" s="2" t="s">
        <v>32</v>
      </c>
      <c r="J888" s="2">
        <v>1.0</v>
      </c>
      <c r="K888" s="4">
        <v>21819.5</v>
      </c>
      <c r="L888" s="5">
        <v>21819.5</v>
      </c>
      <c r="N888" s="2" t="str">
        <f>IF(Table1[Quantity] &gt; 2, "Bulk Order", "Standard Order")</f>
        <v>Standard Order</v>
      </c>
    </row>
    <row r="889" ht="15.75" customHeight="1">
      <c r="A889" s="2" t="s">
        <v>2191</v>
      </c>
      <c r="B889" s="3">
        <v>45824.0</v>
      </c>
      <c r="C889" s="2" t="s">
        <v>1430</v>
      </c>
      <c r="D889" s="2" t="s">
        <v>1577</v>
      </c>
      <c r="E889" s="2">
        <v>52.0</v>
      </c>
      <c r="F889" s="2" t="s">
        <v>37</v>
      </c>
      <c r="G889" s="2" t="s">
        <v>1909</v>
      </c>
      <c r="H889" s="2" t="s">
        <v>42</v>
      </c>
      <c r="I889" s="2" t="s">
        <v>41</v>
      </c>
      <c r="J889" s="2">
        <v>8.0</v>
      </c>
      <c r="K889" s="4">
        <v>44625.98</v>
      </c>
      <c r="L889" s="5">
        <v>357007.84</v>
      </c>
      <c r="N889" s="2" t="str">
        <f>IF(Table1[Quantity] &gt; 2, "Bulk Order", "Standard Order")</f>
        <v>Bulk Order</v>
      </c>
    </row>
    <row r="890" ht="15.75" customHeight="1">
      <c r="A890" s="2" t="s">
        <v>2192</v>
      </c>
      <c r="B890" s="3">
        <v>45734.0</v>
      </c>
      <c r="C890" s="2" t="s">
        <v>2193</v>
      </c>
      <c r="D890" s="2" t="s">
        <v>1146</v>
      </c>
      <c r="E890" s="2">
        <v>65.0</v>
      </c>
      <c r="F890" s="2" t="s">
        <v>37</v>
      </c>
      <c r="G890" s="2" t="s">
        <v>2194</v>
      </c>
      <c r="H890" s="2" t="s">
        <v>64</v>
      </c>
      <c r="I890" s="2" t="s">
        <v>44</v>
      </c>
      <c r="J890" s="2">
        <v>1.0</v>
      </c>
      <c r="K890" s="4">
        <v>2344.98</v>
      </c>
      <c r="L890" s="5">
        <v>2344.98</v>
      </c>
      <c r="N890" s="2" t="str">
        <f>IF(Table1[Quantity] &gt; 2, "Bulk Order", "Standard Order")</f>
        <v>Standard Order</v>
      </c>
    </row>
    <row r="891" ht="15.75" customHeight="1">
      <c r="A891" s="2" t="s">
        <v>2195</v>
      </c>
      <c r="B891" s="3">
        <v>45732.0</v>
      </c>
      <c r="C891" s="2" t="s">
        <v>1281</v>
      </c>
      <c r="D891" s="2" t="s">
        <v>133</v>
      </c>
      <c r="E891" s="2">
        <v>30.0</v>
      </c>
      <c r="F891" s="2" t="s">
        <v>37</v>
      </c>
      <c r="G891" s="2" t="s">
        <v>2194</v>
      </c>
      <c r="H891" s="2" t="s">
        <v>31</v>
      </c>
      <c r="I891" s="2" t="s">
        <v>32</v>
      </c>
      <c r="J891" s="2">
        <v>7.0</v>
      </c>
      <c r="K891" s="4">
        <v>36069.86</v>
      </c>
      <c r="L891" s="5">
        <v>252489.02</v>
      </c>
      <c r="N891" s="2" t="str">
        <f>IF(Table1[Quantity] &gt; 2, "Bulk Order", "Standard Order")</f>
        <v>Bulk Order</v>
      </c>
    </row>
    <row r="892" ht="15.75" customHeight="1">
      <c r="A892" s="2" t="s">
        <v>137</v>
      </c>
      <c r="B892" s="3">
        <v>45933.0</v>
      </c>
      <c r="C892" s="2" t="s">
        <v>2196</v>
      </c>
      <c r="D892" s="2" t="s">
        <v>1693</v>
      </c>
      <c r="F892" s="2" t="s">
        <v>37</v>
      </c>
      <c r="G892" s="2" t="s">
        <v>2194</v>
      </c>
      <c r="H892" s="2" t="s">
        <v>74</v>
      </c>
      <c r="I892" s="2" t="s">
        <v>45</v>
      </c>
      <c r="J892" s="2">
        <v>9.0</v>
      </c>
      <c r="K892" s="4">
        <v>30834.87</v>
      </c>
      <c r="L892" s="5">
        <v>277513.83</v>
      </c>
      <c r="N892" s="2" t="str">
        <f>IF(Table1[Quantity] &gt; 2, "Bulk Order", "Standard Order")</f>
        <v>Bulk Order</v>
      </c>
    </row>
    <row r="893" ht="15.75" customHeight="1">
      <c r="A893" s="2" t="s">
        <v>2197</v>
      </c>
      <c r="B893" s="3">
        <v>45763.0</v>
      </c>
      <c r="C893" s="2" t="s">
        <v>2198</v>
      </c>
      <c r="D893" s="2" t="s">
        <v>2199</v>
      </c>
      <c r="E893" s="2">
        <v>42.0</v>
      </c>
      <c r="F893" s="2" t="s">
        <v>29</v>
      </c>
      <c r="G893" s="2" t="s">
        <v>2194</v>
      </c>
      <c r="H893" s="2" t="s">
        <v>64</v>
      </c>
      <c r="I893" s="2" t="s">
        <v>44</v>
      </c>
      <c r="J893" s="2">
        <v>7.0</v>
      </c>
      <c r="K893" s="4">
        <v>37747.24</v>
      </c>
      <c r="L893" s="5">
        <v>264230.68</v>
      </c>
      <c r="N893" s="2" t="str">
        <f>IF(Table1[Quantity] &gt; 2, "Bulk Order", "Standard Order")</f>
        <v>Bulk Order</v>
      </c>
    </row>
    <row r="894" ht="15.75" customHeight="1">
      <c r="A894" s="2" t="s">
        <v>2200</v>
      </c>
      <c r="B894" s="3">
        <v>45969.0</v>
      </c>
      <c r="C894" s="2" t="s">
        <v>2201</v>
      </c>
      <c r="D894" s="2" t="s">
        <v>55</v>
      </c>
      <c r="E894" s="2">
        <v>46.0</v>
      </c>
      <c r="F894" s="2" t="s">
        <v>37</v>
      </c>
      <c r="G894" s="2" t="s">
        <v>2194</v>
      </c>
      <c r="H894" s="2" t="s">
        <v>56</v>
      </c>
      <c r="I894" s="2" t="s">
        <v>43</v>
      </c>
      <c r="J894" s="2">
        <v>4.0</v>
      </c>
      <c r="K894" s="4">
        <v>25292.97</v>
      </c>
      <c r="L894" s="5">
        <v>101171.88</v>
      </c>
      <c r="N894" s="2" t="str">
        <f>IF(Table1[Quantity] &gt; 2, "Bulk Order", "Standard Order")</f>
        <v>Bulk Order</v>
      </c>
    </row>
    <row r="895" ht="15.75" customHeight="1">
      <c r="A895" s="2" t="s">
        <v>2202</v>
      </c>
      <c r="B895" s="3">
        <v>45995.0</v>
      </c>
      <c r="C895" s="2" t="s">
        <v>2203</v>
      </c>
      <c r="D895" s="2" t="s">
        <v>834</v>
      </c>
      <c r="E895" s="2">
        <v>27.0</v>
      </c>
      <c r="F895" s="2" t="s">
        <v>37</v>
      </c>
      <c r="G895" s="2" t="s">
        <v>2194</v>
      </c>
      <c r="H895" s="2" t="s">
        <v>60</v>
      </c>
      <c r="I895" s="2" t="s">
        <v>43</v>
      </c>
      <c r="J895" s="2">
        <v>9.0</v>
      </c>
      <c r="K895" s="4">
        <v>45419.62</v>
      </c>
      <c r="L895" s="5">
        <v>408776.58</v>
      </c>
      <c r="N895" s="2" t="str">
        <f>IF(Table1[Quantity] &gt; 2, "Bulk Order", "Standard Order")</f>
        <v>Bulk Order</v>
      </c>
    </row>
    <row r="896" ht="15.75" customHeight="1">
      <c r="A896" s="2" t="s">
        <v>2204</v>
      </c>
      <c r="B896" s="3">
        <v>45775.0</v>
      </c>
      <c r="C896" s="2" t="s">
        <v>2205</v>
      </c>
      <c r="D896" s="2" t="s">
        <v>2206</v>
      </c>
      <c r="E896" s="2">
        <v>19.0</v>
      </c>
      <c r="F896" s="2" t="s">
        <v>37</v>
      </c>
      <c r="G896" s="2" t="s">
        <v>2194</v>
      </c>
      <c r="H896" s="2" t="s">
        <v>64</v>
      </c>
      <c r="I896" s="2" t="s">
        <v>44</v>
      </c>
      <c r="J896" s="2">
        <v>8.0</v>
      </c>
      <c r="K896" s="4">
        <v>28874.64</v>
      </c>
      <c r="L896" s="5">
        <v>230997.12</v>
      </c>
      <c r="N896" s="2" t="str">
        <f>IF(Table1[Quantity] &gt; 2, "Bulk Order", "Standard Order")</f>
        <v>Bulk Order</v>
      </c>
    </row>
    <row r="897" ht="15.75" customHeight="1">
      <c r="A897" s="2" t="s">
        <v>2207</v>
      </c>
      <c r="B897" s="3">
        <v>45935.0</v>
      </c>
      <c r="C897" s="2" t="s">
        <v>2208</v>
      </c>
      <c r="D897" s="2" t="s">
        <v>115</v>
      </c>
      <c r="E897" s="2">
        <v>47.0</v>
      </c>
      <c r="F897" s="2" t="s">
        <v>37</v>
      </c>
      <c r="G897" s="2" t="s">
        <v>2194</v>
      </c>
      <c r="H897" s="2" t="s">
        <v>31</v>
      </c>
      <c r="I897" s="2" t="s">
        <v>32</v>
      </c>
      <c r="J897" s="2">
        <v>4.0</v>
      </c>
      <c r="K897" s="4">
        <v>6974.66</v>
      </c>
      <c r="L897" s="5">
        <v>27898.64</v>
      </c>
      <c r="N897" s="2" t="str">
        <f>IF(Table1[Quantity] &gt; 2, "Bulk Order", "Standard Order")</f>
        <v>Bulk Order</v>
      </c>
    </row>
    <row r="898" ht="15.75" customHeight="1">
      <c r="A898" s="2" t="s">
        <v>2209</v>
      </c>
      <c r="B898" s="3">
        <v>45736.0</v>
      </c>
      <c r="C898" s="2" t="s">
        <v>2210</v>
      </c>
      <c r="D898" s="2" t="s">
        <v>1123</v>
      </c>
      <c r="E898" s="2">
        <v>33.0</v>
      </c>
      <c r="F898" s="2" t="s">
        <v>37</v>
      </c>
      <c r="G898" s="2" t="s">
        <v>2194</v>
      </c>
      <c r="H898" s="2" t="s">
        <v>56</v>
      </c>
      <c r="I898" s="2" t="s">
        <v>43</v>
      </c>
      <c r="J898" s="2">
        <v>8.0</v>
      </c>
      <c r="K898" s="4">
        <v>41112.05</v>
      </c>
      <c r="L898" s="5">
        <v>328896.4</v>
      </c>
      <c r="N898" s="2" t="str">
        <f>IF(Table1[Quantity] &gt; 2, "Bulk Order", "Standard Order")</f>
        <v>Bulk Order</v>
      </c>
    </row>
    <row r="899" ht="15.75" customHeight="1">
      <c r="A899" s="2" t="s">
        <v>2211</v>
      </c>
      <c r="B899" s="3">
        <v>45988.0</v>
      </c>
      <c r="C899" s="2" t="s">
        <v>2212</v>
      </c>
      <c r="D899" s="2" t="s">
        <v>2131</v>
      </c>
      <c r="E899" s="2">
        <v>22.0</v>
      </c>
      <c r="F899" s="2" t="s">
        <v>29</v>
      </c>
      <c r="G899" s="2" t="s">
        <v>2194</v>
      </c>
      <c r="H899" s="2" t="s">
        <v>74</v>
      </c>
      <c r="I899" s="2" t="s">
        <v>45</v>
      </c>
      <c r="J899" s="2">
        <v>5.0</v>
      </c>
      <c r="K899" s="4">
        <v>29748.17</v>
      </c>
      <c r="L899" s="5">
        <v>148740.85</v>
      </c>
      <c r="N899" s="2" t="str">
        <f>IF(Table1[Quantity] &gt; 2, "Bulk Order", "Standard Order")</f>
        <v>Bulk Order</v>
      </c>
    </row>
    <row r="900" ht="15.75" customHeight="1">
      <c r="A900" s="2" t="s">
        <v>2213</v>
      </c>
      <c r="B900" s="3">
        <v>45860.0</v>
      </c>
      <c r="C900" s="2" t="s">
        <v>2214</v>
      </c>
      <c r="D900" s="2" t="s">
        <v>859</v>
      </c>
      <c r="E900" s="2">
        <v>64.0</v>
      </c>
      <c r="F900" s="2" t="s">
        <v>37</v>
      </c>
      <c r="G900" s="2" t="s">
        <v>2194</v>
      </c>
      <c r="H900" s="2" t="s">
        <v>56</v>
      </c>
      <c r="I900" s="2" t="s">
        <v>43</v>
      </c>
      <c r="J900" s="2">
        <v>4.0</v>
      </c>
      <c r="K900" s="4">
        <v>6502.53</v>
      </c>
      <c r="L900" s="5">
        <v>26010.12</v>
      </c>
      <c r="N900" s="2" t="str">
        <f>IF(Table1[Quantity] &gt; 2, "Bulk Order", "Standard Order")</f>
        <v>Bulk Order</v>
      </c>
    </row>
    <row r="901" ht="15.75" customHeight="1">
      <c r="A901" s="2" t="s">
        <v>2215</v>
      </c>
      <c r="B901" s="3">
        <v>45812.0</v>
      </c>
      <c r="C901" s="2" t="s">
        <v>2216</v>
      </c>
      <c r="D901" s="2" t="s">
        <v>1089</v>
      </c>
      <c r="E901" s="2">
        <v>54.0</v>
      </c>
      <c r="F901" s="2" t="s">
        <v>37</v>
      </c>
      <c r="G901" s="2" t="s">
        <v>2194</v>
      </c>
      <c r="H901" s="2" t="s">
        <v>56</v>
      </c>
      <c r="I901" s="2" t="s">
        <v>43</v>
      </c>
      <c r="J901" s="2">
        <v>4.0</v>
      </c>
      <c r="K901" s="4">
        <v>16850.46</v>
      </c>
      <c r="L901" s="5">
        <v>67401.84</v>
      </c>
      <c r="N901" s="2" t="str">
        <f>IF(Table1[Quantity] &gt; 2, "Bulk Order", "Standard Order")</f>
        <v>Bulk Order</v>
      </c>
    </row>
    <row r="902" ht="15.75" customHeight="1">
      <c r="A902" s="2" t="s">
        <v>2217</v>
      </c>
      <c r="B902" s="3">
        <v>45829.0</v>
      </c>
      <c r="C902" s="2" t="s">
        <v>2218</v>
      </c>
      <c r="D902" s="2" t="s">
        <v>1739</v>
      </c>
      <c r="E902" s="2">
        <v>20.0</v>
      </c>
      <c r="F902" s="2" t="s">
        <v>29</v>
      </c>
      <c r="G902" s="2" t="s">
        <v>2194</v>
      </c>
      <c r="H902" s="2" t="s">
        <v>56</v>
      </c>
      <c r="I902" s="2" t="s">
        <v>43</v>
      </c>
      <c r="J902" s="2">
        <v>2.0</v>
      </c>
      <c r="K902" s="4">
        <v>14098.13</v>
      </c>
      <c r="L902" s="5">
        <v>28196.26</v>
      </c>
      <c r="N902" s="2" t="str">
        <f>IF(Table1[Quantity] &gt; 2, "Bulk Order", "Standard Order")</f>
        <v>Standard Order</v>
      </c>
    </row>
    <row r="903" ht="15.75" customHeight="1">
      <c r="A903" s="2" t="s">
        <v>2219</v>
      </c>
      <c r="B903" s="3">
        <v>45975.0</v>
      </c>
      <c r="C903" s="2" t="s">
        <v>726</v>
      </c>
      <c r="D903" s="2" t="s">
        <v>336</v>
      </c>
      <c r="E903" s="2">
        <v>60.0</v>
      </c>
      <c r="F903" s="2" t="s">
        <v>29</v>
      </c>
      <c r="G903" s="2" t="s">
        <v>2194</v>
      </c>
      <c r="H903" s="2" t="s">
        <v>60</v>
      </c>
      <c r="I903" s="2" t="s">
        <v>43</v>
      </c>
      <c r="J903" s="2">
        <v>8.0</v>
      </c>
      <c r="K903" s="4">
        <v>23129.36</v>
      </c>
      <c r="L903" s="5">
        <v>185034.88</v>
      </c>
      <c r="N903" s="2" t="str">
        <f>IF(Table1[Quantity] &gt; 2, "Bulk Order", "Standard Order")</f>
        <v>Bulk Order</v>
      </c>
    </row>
    <row r="904" ht="15.75" customHeight="1">
      <c r="A904" s="2" t="s">
        <v>2220</v>
      </c>
      <c r="B904" s="3">
        <v>45821.0</v>
      </c>
      <c r="C904" s="2" t="s">
        <v>2221</v>
      </c>
      <c r="D904" s="2" t="s">
        <v>1515</v>
      </c>
      <c r="E904" s="2">
        <v>24.0</v>
      </c>
      <c r="F904" s="2" t="s">
        <v>37</v>
      </c>
      <c r="G904" s="2" t="s">
        <v>2194</v>
      </c>
      <c r="H904" s="2" t="s">
        <v>42</v>
      </c>
      <c r="I904" s="2" t="s">
        <v>41</v>
      </c>
      <c r="J904" s="2">
        <v>8.0</v>
      </c>
      <c r="K904" s="4">
        <v>34260.45</v>
      </c>
      <c r="L904" s="5">
        <v>274083.6</v>
      </c>
      <c r="N904" s="2" t="str">
        <f>IF(Table1[Quantity] &gt; 2, "Bulk Order", "Standard Order")</f>
        <v>Bulk Order</v>
      </c>
    </row>
    <row r="905" ht="15.75" customHeight="1">
      <c r="A905" s="2" t="s">
        <v>2222</v>
      </c>
      <c r="B905" s="3">
        <v>45875.0</v>
      </c>
      <c r="C905" s="2" t="s">
        <v>2223</v>
      </c>
      <c r="D905" s="2" t="s">
        <v>294</v>
      </c>
      <c r="E905" s="2">
        <v>41.0</v>
      </c>
      <c r="F905" s="2" t="s">
        <v>29</v>
      </c>
      <c r="G905" s="2" t="s">
        <v>2194</v>
      </c>
      <c r="H905" s="2" t="s">
        <v>42</v>
      </c>
      <c r="I905" s="2" t="s">
        <v>41</v>
      </c>
      <c r="J905" s="2">
        <v>4.0</v>
      </c>
      <c r="K905" s="4">
        <v>22321.8</v>
      </c>
      <c r="L905" s="5">
        <v>89287.2</v>
      </c>
      <c r="N905" s="2" t="str">
        <f>IF(Table1[Quantity] &gt; 2, "Bulk Order", "Standard Order")</f>
        <v>Bulk Order</v>
      </c>
    </row>
    <row r="906" ht="15.75" customHeight="1">
      <c r="A906" s="2" t="s">
        <v>2224</v>
      </c>
      <c r="B906" s="3">
        <v>45696.0</v>
      </c>
      <c r="C906" s="2" t="s">
        <v>2225</v>
      </c>
      <c r="D906" s="2" t="s">
        <v>154</v>
      </c>
      <c r="E906" s="2">
        <v>54.0</v>
      </c>
      <c r="F906" s="2" t="s">
        <v>29</v>
      </c>
      <c r="G906" s="2" t="s">
        <v>2194</v>
      </c>
      <c r="H906" s="2" t="s">
        <v>31</v>
      </c>
      <c r="I906" s="2" t="s">
        <v>32</v>
      </c>
      <c r="J906" s="2">
        <v>5.0</v>
      </c>
      <c r="K906" s="4">
        <v>7361.11</v>
      </c>
      <c r="L906" s="5">
        <v>36805.55</v>
      </c>
      <c r="N906" s="2" t="str">
        <f>IF(Table1[Quantity] &gt; 2, "Bulk Order", "Standard Order")</f>
        <v>Bulk Order</v>
      </c>
    </row>
    <row r="907" ht="15.75" customHeight="1">
      <c r="A907" s="2" t="s">
        <v>2226</v>
      </c>
      <c r="B907" s="3">
        <v>45846.0</v>
      </c>
      <c r="C907" s="2" t="s">
        <v>2227</v>
      </c>
      <c r="D907" s="2" t="s">
        <v>1389</v>
      </c>
      <c r="E907" s="2">
        <v>28.0</v>
      </c>
      <c r="F907" s="2" t="s">
        <v>37</v>
      </c>
      <c r="G907" s="2" t="s">
        <v>2194</v>
      </c>
      <c r="H907" s="2" t="s">
        <v>60</v>
      </c>
      <c r="I907" s="2" t="s">
        <v>43</v>
      </c>
      <c r="J907" s="2">
        <v>10.0</v>
      </c>
      <c r="K907" s="4">
        <v>33072.39</v>
      </c>
      <c r="L907" s="5">
        <v>330723.9</v>
      </c>
      <c r="N907" s="2" t="str">
        <f>IF(Table1[Quantity] &gt; 2, "Bulk Order", "Standard Order")</f>
        <v>Bulk Order</v>
      </c>
    </row>
    <row r="908" ht="15.75" customHeight="1">
      <c r="A908" s="2" t="s">
        <v>2228</v>
      </c>
      <c r="B908" s="3">
        <v>45700.0</v>
      </c>
      <c r="C908" s="2" t="s">
        <v>2229</v>
      </c>
      <c r="D908" s="2" t="s">
        <v>2230</v>
      </c>
      <c r="E908" s="2">
        <v>36.0</v>
      </c>
      <c r="F908" s="2" t="s">
        <v>37</v>
      </c>
      <c r="G908" s="2" t="s">
        <v>2194</v>
      </c>
      <c r="H908" s="2" t="s">
        <v>42</v>
      </c>
      <c r="I908" s="2" t="s">
        <v>41</v>
      </c>
      <c r="J908" s="2">
        <v>4.0</v>
      </c>
      <c r="K908" s="4">
        <v>1486.03</v>
      </c>
      <c r="L908" s="5">
        <v>5944.12</v>
      </c>
      <c r="N908" s="2" t="str">
        <f>IF(Table1[Quantity] &gt; 2, "Bulk Order", "Standard Order")</f>
        <v>Bulk Order</v>
      </c>
    </row>
    <row r="909" ht="15.75" customHeight="1">
      <c r="A909" s="2" t="s">
        <v>2231</v>
      </c>
      <c r="B909" s="3">
        <v>45780.0</v>
      </c>
      <c r="C909" s="2" t="s">
        <v>2232</v>
      </c>
      <c r="D909" s="2" t="s">
        <v>678</v>
      </c>
      <c r="E909" s="2">
        <v>41.0</v>
      </c>
      <c r="F909" s="2" t="s">
        <v>29</v>
      </c>
      <c r="G909" s="2" t="s">
        <v>2194</v>
      </c>
      <c r="H909" s="2" t="s">
        <v>74</v>
      </c>
      <c r="I909" s="2" t="s">
        <v>45</v>
      </c>
      <c r="J909" s="2">
        <v>1.0</v>
      </c>
      <c r="K909" s="4">
        <v>43789.89</v>
      </c>
      <c r="L909" s="5">
        <v>43789.89</v>
      </c>
      <c r="N909" s="2" t="str">
        <f>IF(Table1[Quantity] &gt; 2, "Bulk Order", "Standard Order")</f>
        <v>Standard Order</v>
      </c>
    </row>
    <row r="910" ht="15.75" customHeight="1">
      <c r="A910" s="2" t="s">
        <v>2233</v>
      </c>
      <c r="B910" s="3">
        <v>45910.0</v>
      </c>
      <c r="C910" s="2" t="s">
        <v>2234</v>
      </c>
      <c r="D910" s="2" t="s">
        <v>1880</v>
      </c>
      <c r="E910" s="2">
        <v>41.0</v>
      </c>
      <c r="F910" s="2" t="s">
        <v>37</v>
      </c>
      <c r="G910" s="2" t="s">
        <v>2194</v>
      </c>
      <c r="H910" s="2" t="s">
        <v>74</v>
      </c>
      <c r="I910" s="2" t="s">
        <v>45</v>
      </c>
      <c r="J910" s="2">
        <v>7.0</v>
      </c>
      <c r="K910" s="4">
        <v>6196.22</v>
      </c>
      <c r="L910" s="5">
        <v>43373.54</v>
      </c>
      <c r="N910" s="2" t="str">
        <f>IF(Table1[Quantity] &gt; 2, "Bulk Order", "Standard Order")</f>
        <v>Bulk Order</v>
      </c>
    </row>
    <row r="911" ht="15.75" customHeight="1">
      <c r="A911" s="2" t="s">
        <v>2235</v>
      </c>
      <c r="B911" s="3">
        <v>45826.0</v>
      </c>
      <c r="C911" s="2" t="s">
        <v>2236</v>
      </c>
      <c r="D911" s="2" t="s">
        <v>2237</v>
      </c>
      <c r="E911" s="2">
        <v>27.0</v>
      </c>
      <c r="F911" s="2" t="s">
        <v>37</v>
      </c>
      <c r="G911" s="2" t="s">
        <v>2194</v>
      </c>
      <c r="H911" s="2" t="s">
        <v>31</v>
      </c>
      <c r="I911" s="2" t="s">
        <v>32</v>
      </c>
      <c r="J911" s="2">
        <v>8.0</v>
      </c>
      <c r="K911" s="4">
        <v>36364.84</v>
      </c>
      <c r="L911" s="5">
        <v>290918.72</v>
      </c>
      <c r="N911" s="2" t="str">
        <f>IF(Table1[Quantity] &gt; 2, "Bulk Order", "Standard Order")</f>
        <v>Bulk Order</v>
      </c>
    </row>
    <row r="912" ht="15.75" customHeight="1">
      <c r="A912" s="2" t="s">
        <v>2238</v>
      </c>
      <c r="B912" s="3">
        <v>45870.0</v>
      </c>
      <c r="C912" s="2" t="s">
        <v>2239</v>
      </c>
      <c r="D912" s="2" t="s">
        <v>258</v>
      </c>
      <c r="E912" s="2">
        <v>31.0</v>
      </c>
      <c r="F912" s="2" t="s">
        <v>29</v>
      </c>
      <c r="G912" s="2" t="s">
        <v>2194</v>
      </c>
      <c r="H912" s="2" t="s">
        <v>42</v>
      </c>
      <c r="I912" s="2" t="s">
        <v>41</v>
      </c>
      <c r="J912" s="2">
        <v>7.0</v>
      </c>
      <c r="K912" s="4">
        <v>13789.53</v>
      </c>
      <c r="L912" s="5">
        <v>96526.71</v>
      </c>
      <c r="N912" s="2" t="str">
        <f>IF(Table1[Quantity] &gt; 2, "Bulk Order", "Standard Order")</f>
        <v>Bulk Order</v>
      </c>
    </row>
    <row r="913" ht="15.75" customHeight="1">
      <c r="A913" s="2" t="s">
        <v>2240</v>
      </c>
      <c r="B913" s="3">
        <v>46017.0</v>
      </c>
      <c r="C913" s="2" t="s">
        <v>2099</v>
      </c>
      <c r="D913" s="2" t="s">
        <v>160</v>
      </c>
      <c r="E913" s="2">
        <v>48.0</v>
      </c>
      <c r="F913" s="2" t="s">
        <v>37</v>
      </c>
      <c r="G913" s="2" t="s">
        <v>2194</v>
      </c>
      <c r="H913" s="2" t="s">
        <v>42</v>
      </c>
      <c r="I913" s="2" t="s">
        <v>41</v>
      </c>
      <c r="J913" s="2">
        <v>3.0</v>
      </c>
      <c r="K913" s="4">
        <v>32373.88</v>
      </c>
      <c r="L913" s="5">
        <v>97121.64</v>
      </c>
      <c r="N913" s="2" t="str">
        <f>IF(Table1[Quantity] &gt; 2, "Bulk Order", "Standard Order")</f>
        <v>Bulk Order</v>
      </c>
    </row>
    <row r="914" ht="15.75" customHeight="1">
      <c r="A914" s="2" t="s">
        <v>2241</v>
      </c>
      <c r="B914" s="3">
        <v>45872.0</v>
      </c>
      <c r="C914" s="2" t="s">
        <v>2242</v>
      </c>
      <c r="D914" s="2" t="s">
        <v>421</v>
      </c>
      <c r="E914" s="2">
        <v>22.0</v>
      </c>
      <c r="F914" s="2" t="s">
        <v>37</v>
      </c>
      <c r="G914" s="2" t="s">
        <v>2194</v>
      </c>
      <c r="H914" s="2" t="s">
        <v>56</v>
      </c>
      <c r="I914" s="2" t="s">
        <v>43</v>
      </c>
      <c r="J914" s="2">
        <v>7.0</v>
      </c>
      <c r="K914" s="4">
        <v>21466.96</v>
      </c>
      <c r="L914" s="5">
        <v>150268.72</v>
      </c>
      <c r="N914" s="2" t="str">
        <f>IF(Table1[Quantity] &gt; 2, "Bulk Order", "Standard Order")</f>
        <v>Bulk Order</v>
      </c>
    </row>
    <row r="915" ht="15.75" customHeight="1">
      <c r="A915" s="2" t="s">
        <v>2243</v>
      </c>
      <c r="B915" s="3">
        <v>45866.0</v>
      </c>
      <c r="C915" s="2" t="s">
        <v>2244</v>
      </c>
      <c r="D915" s="2" t="s">
        <v>258</v>
      </c>
      <c r="E915" s="2">
        <v>37.0</v>
      </c>
      <c r="F915" s="2" t="s">
        <v>29</v>
      </c>
      <c r="G915" s="2" t="s">
        <v>2194</v>
      </c>
      <c r="H915" s="2" t="s">
        <v>56</v>
      </c>
      <c r="I915" s="2" t="s">
        <v>43</v>
      </c>
      <c r="J915" s="2">
        <v>4.0</v>
      </c>
      <c r="K915" s="4">
        <v>6652.95</v>
      </c>
      <c r="L915" s="5">
        <v>26611.8</v>
      </c>
      <c r="N915" s="2" t="str">
        <f>IF(Table1[Quantity] &gt; 2, "Bulk Order", "Standard Order")</f>
        <v>Bulk Order</v>
      </c>
    </row>
    <row r="916" ht="15.75" customHeight="1">
      <c r="A916" s="2" t="s">
        <v>2245</v>
      </c>
      <c r="B916" s="3">
        <v>45768.0</v>
      </c>
      <c r="C916" s="2" t="s">
        <v>2246</v>
      </c>
      <c r="D916" s="2" t="s">
        <v>402</v>
      </c>
      <c r="E916" s="2">
        <v>32.0</v>
      </c>
      <c r="F916" s="2" t="s">
        <v>37</v>
      </c>
      <c r="G916" s="2" t="s">
        <v>2194</v>
      </c>
      <c r="H916" s="2" t="s">
        <v>56</v>
      </c>
      <c r="I916" s="2" t="s">
        <v>43</v>
      </c>
      <c r="J916" s="2">
        <v>5.0</v>
      </c>
      <c r="K916" s="4">
        <v>25857.91</v>
      </c>
      <c r="L916" s="5">
        <v>129289.55</v>
      </c>
      <c r="N916" s="2" t="str">
        <f>IF(Table1[Quantity] &gt; 2, "Bulk Order", "Standard Order")</f>
        <v>Bulk Order</v>
      </c>
    </row>
    <row r="917" ht="15.75" customHeight="1">
      <c r="A917" s="2" t="s">
        <v>2247</v>
      </c>
      <c r="B917" s="3">
        <v>45861.0</v>
      </c>
      <c r="C917" s="2" t="s">
        <v>2045</v>
      </c>
      <c r="D917" s="2" t="s">
        <v>907</v>
      </c>
      <c r="E917" s="2">
        <v>41.0</v>
      </c>
      <c r="F917" s="2" t="s">
        <v>29</v>
      </c>
      <c r="G917" s="2" t="s">
        <v>2194</v>
      </c>
      <c r="H917" s="2" t="s">
        <v>74</v>
      </c>
      <c r="I917" s="2" t="s">
        <v>45</v>
      </c>
      <c r="J917" s="2">
        <v>6.0</v>
      </c>
      <c r="K917" s="4">
        <v>27965.93</v>
      </c>
      <c r="L917" s="5">
        <v>167795.58</v>
      </c>
      <c r="N917" s="2" t="str">
        <f>IF(Table1[Quantity] &gt; 2, "Bulk Order", "Standard Order")</f>
        <v>Bulk Order</v>
      </c>
    </row>
    <row r="918" ht="15.75" customHeight="1">
      <c r="A918" s="2" t="s">
        <v>2248</v>
      </c>
      <c r="B918" s="3">
        <v>45996.0</v>
      </c>
      <c r="C918" s="2" t="s">
        <v>2249</v>
      </c>
      <c r="D918" s="2" t="s">
        <v>1222</v>
      </c>
      <c r="E918" s="2">
        <v>57.0</v>
      </c>
      <c r="F918" s="2" t="s">
        <v>37</v>
      </c>
      <c r="G918" s="2" t="s">
        <v>2194</v>
      </c>
      <c r="H918" s="2" t="s">
        <v>64</v>
      </c>
      <c r="I918" s="2" t="s">
        <v>44</v>
      </c>
      <c r="J918" s="2">
        <v>10.0</v>
      </c>
      <c r="K918" s="4">
        <v>11637.38</v>
      </c>
      <c r="L918" s="5">
        <v>116373.8</v>
      </c>
      <c r="N918" s="2" t="str">
        <f>IF(Table1[Quantity] &gt; 2, "Bulk Order", "Standard Order")</f>
        <v>Bulk Order</v>
      </c>
    </row>
    <row r="919" ht="15.75" customHeight="1">
      <c r="A919" s="2" t="s">
        <v>2250</v>
      </c>
      <c r="B919" s="3">
        <v>45958.0</v>
      </c>
      <c r="C919" s="2" t="s">
        <v>2251</v>
      </c>
      <c r="D919" s="2" t="s">
        <v>486</v>
      </c>
      <c r="E919" s="2">
        <v>47.0</v>
      </c>
      <c r="F919" s="2" t="s">
        <v>29</v>
      </c>
      <c r="G919" s="2" t="s">
        <v>2194</v>
      </c>
      <c r="H919" s="2" t="s">
        <v>56</v>
      </c>
      <c r="I919" s="2" t="s">
        <v>43</v>
      </c>
      <c r="J919" s="2">
        <v>9.0</v>
      </c>
      <c r="K919" s="4">
        <v>47289.86</v>
      </c>
      <c r="L919" s="5">
        <v>425608.74</v>
      </c>
      <c r="N919" s="2" t="str">
        <f>IF(Table1[Quantity] &gt; 2, "Bulk Order", "Standard Order")</f>
        <v>Bulk Order</v>
      </c>
    </row>
    <row r="920" ht="15.75" customHeight="1">
      <c r="A920" s="2" t="s">
        <v>2252</v>
      </c>
      <c r="B920" s="3">
        <v>45959.0</v>
      </c>
      <c r="C920" s="2" t="s">
        <v>2253</v>
      </c>
      <c r="D920" s="2" t="s">
        <v>1227</v>
      </c>
      <c r="E920" s="2">
        <v>50.0</v>
      </c>
      <c r="F920" s="2" t="s">
        <v>29</v>
      </c>
      <c r="G920" s="2" t="s">
        <v>2194</v>
      </c>
      <c r="H920" s="2" t="s">
        <v>31</v>
      </c>
      <c r="I920" s="2" t="s">
        <v>32</v>
      </c>
      <c r="J920" s="2">
        <v>10.0</v>
      </c>
      <c r="K920" s="4">
        <v>21580.33</v>
      </c>
      <c r="L920" s="5">
        <v>215803.3</v>
      </c>
      <c r="N920" s="2" t="str">
        <f>IF(Table1[Quantity] &gt; 2, "Bulk Order", "Standard Order")</f>
        <v>Bulk Order</v>
      </c>
    </row>
    <row r="921" ht="15.75" customHeight="1">
      <c r="A921" s="2" t="s">
        <v>2254</v>
      </c>
      <c r="B921" s="3">
        <v>45849.0</v>
      </c>
      <c r="C921" s="2" t="s">
        <v>2255</v>
      </c>
      <c r="D921" s="2" t="s">
        <v>67</v>
      </c>
      <c r="F921" s="2" t="s">
        <v>37</v>
      </c>
      <c r="G921" s="2" t="s">
        <v>2194</v>
      </c>
      <c r="H921" s="2" t="s">
        <v>60</v>
      </c>
      <c r="I921" s="2" t="s">
        <v>43</v>
      </c>
      <c r="J921" s="2">
        <v>8.0</v>
      </c>
      <c r="K921" s="4">
        <v>47254.7</v>
      </c>
      <c r="L921" s="5">
        <v>378037.6</v>
      </c>
      <c r="N921" s="2" t="str">
        <f>IF(Table1[Quantity] &gt; 2, "Bulk Order", "Standard Order")</f>
        <v>Bulk Order</v>
      </c>
    </row>
    <row r="922" ht="15.75" customHeight="1">
      <c r="A922" s="2" t="s">
        <v>137</v>
      </c>
      <c r="B922" s="3">
        <v>45699.0</v>
      </c>
      <c r="C922" s="2" t="s">
        <v>2256</v>
      </c>
      <c r="D922" s="2" t="s">
        <v>1104</v>
      </c>
      <c r="E922" s="2">
        <v>24.0</v>
      </c>
      <c r="F922" s="2" t="s">
        <v>29</v>
      </c>
      <c r="G922" s="2" t="s">
        <v>2194</v>
      </c>
      <c r="H922" s="2" t="s">
        <v>31</v>
      </c>
      <c r="I922" s="2" t="s">
        <v>32</v>
      </c>
      <c r="J922" s="2">
        <v>7.0</v>
      </c>
      <c r="K922" s="4">
        <v>45480.39</v>
      </c>
      <c r="L922" s="5">
        <v>318362.73</v>
      </c>
      <c r="N922" s="2" t="str">
        <f>IF(Table1[Quantity] &gt; 2, "Bulk Order", "Standard Order")</f>
        <v>Bulk Order</v>
      </c>
    </row>
    <row r="923" ht="15.75" customHeight="1">
      <c r="A923" s="2" t="s">
        <v>2257</v>
      </c>
      <c r="B923" s="3">
        <v>45931.0</v>
      </c>
      <c r="C923" s="2" t="s">
        <v>2258</v>
      </c>
      <c r="D923" s="2" t="s">
        <v>1094</v>
      </c>
      <c r="E923" s="2">
        <v>64.0</v>
      </c>
      <c r="F923" s="2" t="s">
        <v>29</v>
      </c>
      <c r="G923" s="2" t="s">
        <v>2194</v>
      </c>
      <c r="H923" s="2" t="s">
        <v>60</v>
      </c>
      <c r="I923" s="2" t="s">
        <v>43</v>
      </c>
      <c r="J923" s="2">
        <v>10.0</v>
      </c>
      <c r="K923" s="4">
        <v>19010.69</v>
      </c>
      <c r="L923" s="5">
        <v>190106.9</v>
      </c>
      <c r="N923" s="2" t="str">
        <f>IF(Table1[Quantity] &gt; 2, "Bulk Order", "Standard Order")</f>
        <v>Bulk Order</v>
      </c>
    </row>
    <row r="924" ht="15.75" customHeight="1">
      <c r="A924" s="2" t="s">
        <v>2259</v>
      </c>
      <c r="B924" s="3">
        <v>45777.0</v>
      </c>
      <c r="C924" s="2" t="s">
        <v>2260</v>
      </c>
      <c r="D924" s="2" t="s">
        <v>2261</v>
      </c>
      <c r="E924" s="2">
        <v>35.0</v>
      </c>
      <c r="F924" s="2" t="s">
        <v>37</v>
      </c>
      <c r="G924" s="2" t="s">
        <v>2194</v>
      </c>
      <c r="H924" s="2" t="s">
        <v>60</v>
      </c>
      <c r="I924" s="2" t="s">
        <v>43</v>
      </c>
      <c r="J924" s="2">
        <v>5.0</v>
      </c>
      <c r="K924" s="4">
        <v>31244.32</v>
      </c>
      <c r="L924" s="5">
        <v>156221.6</v>
      </c>
      <c r="N924" s="2" t="str">
        <f>IF(Table1[Quantity] &gt; 2, "Bulk Order", "Standard Order")</f>
        <v>Bulk Order</v>
      </c>
    </row>
    <row r="925" ht="15.75" customHeight="1">
      <c r="A925" s="2" t="s">
        <v>2262</v>
      </c>
      <c r="B925" s="3">
        <v>45775.0</v>
      </c>
      <c r="C925" s="2" t="s">
        <v>2263</v>
      </c>
      <c r="D925" s="2" t="s">
        <v>70</v>
      </c>
      <c r="E925" s="2">
        <v>22.0</v>
      </c>
      <c r="F925" s="2" t="s">
        <v>29</v>
      </c>
      <c r="G925" s="2" t="s">
        <v>2194</v>
      </c>
      <c r="H925" s="2" t="s">
        <v>56</v>
      </c>
      <c r="I925" s="2" t="s">
        <v>43</v>
      </c>
      <c r="J925" s="2">
        <v>7.0</v>
      </c>
      <c r="K925" s="4">
        <v>20998.7</v>
      </c>
      <c r="L925" s="5">
        <v>146990.9</v>
      </c>
      <c r="N925" s="2" t="str">
        <f>IF(Table1[Quantity] &gt; 2, "Bulk Order", "Standard Order")</f>
        <v>Bulk Order</v>
      </c>
    </row>
    <row r="926" ht="15.75" customHeight="1">
      <c r="A926" s="2" t="s">
        <v>2264</v>
      </c>
      <c r="B926" s="3">
        <v>45815.0</v>
      </c>
      <c r="C926" s="2" t="s">
        <v>2265</v>
      </c>
      <c r="D926" s="2" t="s">
        <v>261</v>
      </c>
      <c r="E926" s="2">
        <v>53.0</v>
      </c>
      <c r="F926" s="2" t="s">
        <v>37</v>
      </c>
      <c r="G926" s="2" t="s">
        <v>2194</v>
      </c>
      <c r="H926" s="2" t="s">
        <v>56</v>
      </c>
      <c r="I926" s="2" t="s">
        <v>43</v>
      </c>
      <c r="J926" s="2">
        <v>9.0</v>
      </c>
      <c r="K926" s="4">
        <v>46780.58</v>
      </c>
      <c r="L926" s="5">
        <v>421025.22</v>
      </c>
      <c r="N926" s="2" t="str">
        <f>IF(Table1[Quantity] &gt; 2, "Bulk Order", "Standard Order")</f>
        <v>Bulk Order</v>
      </c>
    </row>
    <row r="927" ht="15.75" customHeight="1">
      <c r="A927" s="2" t="s">
        <v>2266</v>
      </c>
      <c r="B927" s="3">
        <v>45983.0</v>
      </c>
      <c r="C927" s="2" t="s">
        <v>2267</v>
      </c>
      <c r="D927" s="2" t="s">
        <v>1756</v>
      </c>
      <c r="E927" s="2">
        <v>27.0</v>
      </c>
      <c r="F927" s="2" t="s">
        <v>29</v>
      </c>
      <c r="G927" s="2" t="s">
        <v>2194</v>
      </c>
      <c r="H927" s="2" t="s">
        <v>64</v>
      </c>
      <c r="I927" s="2" t="s">
        <v>44</v>
      </c>
      <c r="J927" s="2">
        <v>5.0</v>
      </c>
      <c r="K927" s="4">
        <v>21143.07</v>
      </c>
      <c r="L927" s="5">
        <v>105715.35</v>
      </c>
      <c r="N927" s="2" t="str">
        <f>IF(Table1[Quantity] &gt; 2, "Bulk Order", "Standard Order")</f>
        <v>Bulk Order</v>
      </c>
    </row>
    <row r="928" ht="15.75" customHeight="1">
      <c r="A928" s="2" t="s">
        <v>2268</v>
      </c>
      <c r="B928" s="3">
        <v>45845.0</v>
      </c>
      <c r="C928" s="2" t="s">
        <v>2269</v>
      </c>
      <c r="D928" s="2" t="s">
        <v>2270</v>
      </c>
      <c r="E928" s="2">
        <v>32.0</v>
      </c>
      <c r="F928" s="2" t="s">
        <v>29</v>
      </c>
      <c r="G928" s="2" t="s">
        <v>2194</v>
      </c>
      <c r="H928" s="2" t="s">
        <v>60</v>
      </c>
      <c r="I928" s="2" t="s">
        <v>43</v>
      </c>
      <c r="J928" s="2">
        <v>5.0</v>
      </c>
      <c r="K928" s="4">
        <v>6619.66</v>
      </c>
      <c r="L928" s="5">
        <v>33098.3</v>
      </c>
      <c r="N928" s="2" t="str">
        <f>IF(Table1[Quantity] &gt; 2, "Bulk Order", "Standard Order")</f>
        <v>Bulk Order</v>
      </c>
    </row>
    <row r="929" ht="15.75" customHeight="1">
      <c r="A929" s="2" t="s">
        <v>2271</v>
      </c>
      <c r="B929" s="3">
        <v>45933.0</v>
      </c>
      <c r="C929" s="2" t="s">
        <v>2272</v>
      </c>
      <c r="D929" s="2" t="s">
        <v>216</v>
      </c>
      <c r="E929" s="2">
        <v>31.0</v>
      </c>
      <c r="F929" s="2" t="s">
        <v>29</v>
      </c>
      <c r="G929" s="2" t="s">
        <v>2194</v>
      </c>
      <c r="H929" s="2" t="s">
        <v>60</v>
      </c>
      <c r="I929" s="2" t="s">
        <v>43</v>
      </c>
      <c r="J929" s="2">
        <v>10.0</v>
      </c>
      <c r="K929" s="4">
        <v>315.67</v>
      </c>
      <c r="L929" s="5">
        <v>3156.7</v>
      </c>
      <c r="N929" s="2" t="str">
        <f>IF(Table1[Quantity] &gt; 2, "Bulk Order", "Standard Order")</f>
        <v>Bulk Order</v>
      </c>
    </row>
    <row r="930" ht="15.75" customHeight="1">
      <c r="A930" s="2" t="s">
        <v>2273</v>
      </c>
      <c r="B930" s="3">
        <v>45870.0</v>
      </c>
      <c r="C930" s="2" t="s">
        <v>2274</v>
      </c>
      <c r="D930" s="2" t="s">
        <v>1661</v>
      </c>
      <c r="E930" s="2">
        <v>19.0</v>
      </c>
      <c r="F930" s="2" t="s">
        <v>37</v>
      </c>
      <c r="G930" s="2" t="s">
        <v>2194</v>
      </c>
      <c r="H930" s="2" t="s">
        <v>56</v>
      </c>
      <c r="I930" s="2" t="s">
        <v>43</v>
      </c>
      <c r="J930" s="2">
        <v>3.0</v>
      </c>
      <c r="K930" s="4">
        <v>29528.77</v>
      </c>
      <c r="L930" s="5">
        <v>88586.31</v>
      </c>
      <c r="N930" s="2" t="str">
        <f>IF(Table1[Quantity] &gt; 2, "Bulk Order", "Standard Order")</f>
        <v>Bulk Order</v>
      </c>
    </row>
    <row r="931" ht="15.75" customHeight="1">
      <c r="A931" s="2" t="s">
        <v>2275</v>
      </c>
      <c r="B931" s="3">
        <v>45679.0</v>
      </c>
      <c r="C931" s="2" t="s">
        <v>2276</v>
      </c>
      <c r="D931" s="2" t="s">
        <v>784</v>
      </c>
      <c r="E931" s="2">
        <v>30.0</v>
      </c>
      <c r="F931" s="2" t="s">
        <v>37</v>
      </c>
      <c r="G931" s="2" t="s">
        <v>2194</v>
      </c>
      <c r="H931" s="2" t="s">
        <v>56</v>
      </c>
      <c r="I931" s="2" t="s">
        <v>43</v>
      </c>
      <c r="J931" s="2">
        <v>1.0</v>
      </c>
      <c r="K931" s="4">
        <v>3839.04</v>
      </c>
      <c r="L931" s="5">
        <v>3839.04</v>
      </c>
      <c r="N931" s="2" t="str">
        <f>IF(Table1[Quantity] &gt; 2, "Bulk Order", "Standard Order")</f>
        <v>Standard Order</v>
      </c>
    </row>
    <row r="932" ht="15.75" customHeight="1">
      <c r="A932" s="2" t="s">
        <v>2277</v>
      </c>
      <c r="B932" s="3">
        <v>45899.0</v>
      </c>
      <c r="C932" s="2" t="s">
        <v>2278</v>
      </c>
      <c r="D932" s="2" t="s">
        <v>1917</v>
      </c>
      <c r="E932" s="2">
        <v>39.0</v>
      </c>
      <c r="F932" s="2" t="s">
        <v>29</v>
      </c>
      <c r="G932" s="2" t="s">
        <v>2194</v>
      </c>
      <c r="H932" s="2" t="s">
        <v>64</v>
      </c>
      <c r="I932" s="2" t="s">
        <v>44</v>
      </c>
      <c r="J932" s="2">
        <v>2.0</v>
      </c>
      <c r="K932" s="4">
        <v>18153.87</v>
      </c>
      <c r="L932" s="5">
        <v>36307.74</v>
      </c>
      <c r="N932" s="2" t="str">
        <f>IF(Table1[Quantity] &gt; 2, "Bulk Order", "Standard Order")</f>
        <v>Standard Order</v>
      </c>
    </row>
    <row r="933" ht="15.75" customHeight="1">
      <c r="A933" s="2" t="s">
        <v>2279</v>
      </c>
      <c r="B933" s="3">
        <v>45763.0</v>
      </c>
      <c r="C933" s="2" t="s">
        <v>2280</v>
      </c>
      <c r="D933" s="2" t="s">
        <v>937</v>
      </c>
      <c r="E933" s="2">
        <v>46.0</v>
      </c>
      <c r="F933" s="2" t="s">
        <v>37</v>
      </c>
      <c r="G933" s="2" t="s">
        <v>2194</v>
      </c>
      <c r="H933" s="2" t="s">
        <v>60</v>
      </c>
      <c r="I933" s="2" t="s">
        <v>43</v>
      </c>
      <c r="J933" s="2">
        <v>8.0</v>
      </c>
      <c r="K933" s="4">
        <v>30816.21</v>
      </c>
      <c r="L933" s="5">
        <v>246529.68</v>
      </c>
      <c r="N933" s="2" t="str">
        <f>IF(Table1[Quantity] &gt; 2, "Bulk Order", "Standard Order")</f>
        <v>Bulk Order</v>
      </c>
    </row>
    <row r="934" ht="15.75" customHeight="1">
      <c r="A934" s="2" t="s">
        <v>2281</v>
      </c>
      <c r="B934" s="3">
        <v>45849.0</v>
      </c>
      <c r="C934" s="2" t="s">
        <v>2282</v>
      </c>
      <c r="D934" s="2" t="s">
        <v>2283</v>
      </c>
      <c r="E934" s="2">
        <v>48.0</v>
      </c>
      <c r="F934" s="2" t="s">
        <v>29</v>
      </c>
      <c r="G934" s="2" t="s">
        <v>2194</v>
      </c>
      <c r="H934" s="2" t="s">
        <v>42</v>
      </c>
      <c r="I934" s="2" t="s">
        <v>41</v>
      </c>
      <c r="J934" s="2">
        <v>10.0</v>
      </c>
      <c r="K934" s="4">
        <v>13908.48</v>
      </c>
      <c r="L934" s="5">
        <v>139084.8</v>
      </c>
      <c r="N934" s="2" t="str">
        <f>IF(Table1[Quantity] &gt; 2, "Bulk Order", "Standard Order")</f>
        <v>Bulk Order</v>
      </c>
    </row>
    <row r="935" ht="15.75" customHeight="1">
      <c r="A935" s="2" t="s">
        <v>2284</v>
      </c>
      <c r="B935" s="3">
        <v>45862.0</v>
      </c>
      <c r="C935" s="2" t="s">
        <v>2285</v>
      </c>
      <c r="D935" s="2" t="s">
        <v>1862</v>
      </c>
      <c r="E935" s="2">
        <v>63.0</v>
      </c>
      <c r="F935" s="2" t="s">
        <v>37</v>
      </c>
      <c r="G935" s="2" t="s">
        <v>2194</v>
      </c>
      <c r="H935" s="2" t="s">
        <v>60</v>
      </c>
      <c r="I935" s="2" t="s">
        <v>43</v>
      </c>
      <c r="J935" s="2">
        <v>5.0</v>
      </c>
      <c r="K935" s="4">
        <v>13257.79</v>
      </c>
      <c r="L935" s="5">
        <v>66288.95</v>
      </c>
      <c r="N935" s="2" t="str">
        <f>IF(Table1[Quantity] &gt; 2, "Bulk Order", "Standard Order")</f>
        <v>Bulk Order</v>
      </c>
    </row>
    <row r="936" ht="15.75" customHeight="1">
      <c r="A936" s="2" t="s">
        <v>2286</v>
      </c>
      <c r="B936" s="3">
        <v>45853.0</v>
      </c>
      <c r="C936" s="2" t="s">
        <v>2287</v>
      </c>
      <c r="D936" s="2" t="s">
        <v>1143</v>
      </c>
      <c r="E936" s="2">
        <v>52.0</v>
      </c>
      <c r="F936" s="2" t="s">
        <v>37</v>
      </c>
      <c r="G936" s="2" t="s">
        <v>2194</v>
      </c>
      <c r="H936" s="2" t="s">
        <v>56</v>
      </c>
      <c r="I936" s="2" t="s">
        <v>43</v>
      </c>
      <c r="J936" s="2">
        <v>1.0</v>
      </c>
      <c r="K936" s="4">
        <v>40225.63</v>
      </c>
      <c r="L936" s="5">
        <v>40225.63</v>
      </c>
      <c r="N936" s="2" t="str">
        <f>IF(Table1[Quantity] &gt; 2, "Bulk Order", "Standard Order")</f>
        <v>Standard Order</v>
      </c>
    </row>
    <row r="937" ht="15.75" customHeight="1">
      <c r="A937" s="2" t="s">
        <v>2288</v>
      </c>
      <c r="B937" s="3">
        <v>45867.0</v>
      </c>
      <c r="C937" s="2" t="s">
        <v>2289</v>
      </c>
      <c r="D937" s="2" t="s">
        <v>2290</v>
      </c>
      <c r="E937" s="2">
        <v>41.0</v>
      </c>
      <c r="F937" s="2" t="s">
        <v>29</v>
      </c>
      <c r="G937" s="2" t="s">
        <v>2194</v>
      </c>
      <c r="H937" s="2" t="s">
        <v>31</v>
      </c>
      <c r="I937" s="2" t="s">
        <v>32</v>
      </c>
      <c r="J937" s="2">
        <v>7.0</v>
      </c>
      <c r="K937" s="4">
        <v>17760.62</v>
      </c>
      <c r="L937" s="5">
        <v>124324.34</v>
      </c>
      <c r="N937" s="2" t="str">
        <f>IF(Table1[Quantity] &gt; 2, "Bulk Order", "Standard Order")</f>
        <v>Bulk Order</v>
      </c>
    </row>
    <row r="938" ht="15.75" customHeight="1">
      <c r="A938" s="2" t="s">
        <v>2291</v>
      </c>
      <c r="B938" s="3">
        <v>45878.0</v>
      </c>
      <c r="C938" s="2" t="s">
        <v>2292</v>
      </c>
      <c r="D938" s="2" t="s">
        <v>2293</v>
      </c>
      <c r="E938" s="2">
        <v>56.0</v>
      </c>
      <c r="F938" s="2" t="s">
        <v>29</v>
      </c>
      <c r="G938" s="2" t="s">
        <v>2194</v>
      </c>
      <c r="H938" s="2" t="s">
        <v>60</v>
      </c>
      <c r="I938" s="2" t="s">
        <v>43</v>
      </c>
      <c r="J938" s="2">
        <v>6.0</v>
      </c>
      <c r="K938" s="4">
        <v>3230.47</v>
      </c>
      <c r="L938" s="5">
        <v>19382.82</v>
      </c>
      <c r="N938" s="2" t="str">
        <f>IF(Table1[Quantity] &gt; 2, "Bulk Order", "Standard Order")</f>
        <v>Bulk Order</v>
      </c>
    </row>
    <row r="939" ht="15.75" customHeight="1">
      <c r="A939" s="2" t="s">
        <v>2294</v>
      </c>
      <c r="B939" s="3">
        <v>45707.0</v>
      </c>
      <c r="C939" s="2" t="s">
        <v>1830</v>
      </c>
      <c r="D939" s="2" t="s">
        <v>2295</v>
      </c>
      <c r="E939" s="2">
        <v>20.0</v>
      </c>
      <c r="F939" s="2" t="s">
        <v>37</v>
      </c>
      <c r="G939" s="2" t="s">
        <v>2194</v>
      </c>
      <c r="H939" s="2" t="s">
        <v>31</v>
      </c>
      <c r="I939" s="2" t="s">
        <v>32</v>
      </c>
      <c r="J939" s="2">
        <v>1.0</v>
      </c>
      <c r="K939" s="4">
        <v>14634.25</v>
      </c>
      <c r="L939" s="5">
        <v>14634.25</v>
      </c>
      <c r="N939" s="2" t="str">
        <f>IF(Table1[Quantity] &gt; 2, "Bulk Order", "Standard Order")</f>
        <v>Standard Order</v>
      </c>
    </row>
    <row r="940" ht="15.75" customHeight="1">
      <c r="A940" s="2" t="s">
        <v>2296</v>
      </c>
      <c r="B940" s="3">
        <v>46001.0</v>
      </c>
      <c r="C940" s="2" t="s">
        <v>900</v>
      </c>
      <c r="D940" s="2" t="s">
        <v>1184</v>
      </c>
      <c r="E940" s="2">
        <v>37.0</v>
      </c>
      <c r="F940" s="2" t="s">
        <v>29</v>
      </c>
      <c r="G940" s="2" t="s">
        <v>2194</v>
      </c>
      <c r="H940" s="2" t="s">
        <v>64</v>
      </c>
      <c r="I940" s="2" t="s">
        <v>44</v>
      </c>
      <c r="J940" s="2">
        <v>9.0</v>
      </c>
      <c r="K940" s="4">
        <v>3626.27</v>
      </c>
      <c r="L940" s="5">
        <v>32636.43</v>
      </c>
      <c r="N940" s="2" t="str">
        <f>IF(Table1[Quantity] &gt; 2, "Bulk Order", "Standard Order")</f>
        <v>Bulk Order</v>
      </c>
    </row>
    <row r="941" ht="15.75" customHeight="1">
      <c r="A941" s="2" t="s">
        <v>2297</v>
      </c>
      <c r="B941" s="3">
        <v>45743.0</v>
      </c>
      <c r="C941" s="2" t="s">
        <v>2298</v>
      </c>
      <c r="D941" s="2" t="s">
        <v>1249</v>
      </c>
      <c r="F941" s="2" t="s">
        <v>37</v>
      </c>
      <c r="G941" s="2" t="s">
        <v>2194</v>
      </c>
      <c r="H941" s="2" t="s">
        <v>31</v>
      </c>
      <c r="I941" s="2" t="s">
        <v>32</v>
      </c>
      <c r="J941" s="2">
        <v>5.0</v>
      </c>
      <c r="K941" s="4">
        <v>41509.54</v>
      </c>
      <c r="L941" s="5">
        <v>207547.7</v>
      </c>
      <c r="N941" s="2" t="str">
        <f>IF(Table1[Quantity] &gt; 2, "Bulk Order", "Standard Order")</f>
        <v>Bulk Order</v>
      </c>
    </row>
    <row r="942" ht="15.75" customHeight="1">
      <c r="A942" s="2" t="s">
        <v>2299</v>
      </c>
      <c r="B942" s="3">
        <v>45920.0</v>
      </c>
      <c r="C942" s="2" t="s">
        <v>2300</v>
      </c>
      <c r="D942" s="2" t="s">
        <v>449</v>
      </c>
      <c r="E942" s="2">
        <v>38.0</v>
      </c>
      <c r="F942" s="2" t="s">
        <v>29</v>
      </c>
      <c r="G942" s="2" t="s">
        <v>2194</v>
      </c>
      <c r="H942" s="2" t="s">
        <v>56</v>
      </c>
      <c r="I942" s="2" t="s">
        <v>43</v>
      </c>
      <c r="J942" s="2">
        <v>4.0</v>
      </c>
      <c r="K942" s="4">
        <v>3859.9</v>
      </c>
      <c r="L942" s="5">
        <v>15439.6</v>
      </c>
      <c r="N942" s="2" t="str">
        <f>IF(Table1[Quantity] &gt; 2, "Bulk Order", "Standard Order")</f>
        <v>Bulk Order</v>
      </c>
    </row>
    <row r="943" ht="15.75" customHeight="1">
      <c r="A943" s="2" t="s">
        <v>2301</v>
      </c>
      <c r="B943" s="3">
        <v>46020.0</v>
      </c>
      <c r="C943" s="2" t="s">
        <v>1762</v>
      </c>
      <c r="D943" s="2" t="s">
        <v>483</v>
      </c>
      <c r="E943" s="2">
        <v>39.0</v>
      </c>
      <c r="F943" s="2" t="s">
        <v>37</v>
      </c>
      <c r="G943" s="2" t="s">
        <v>2194</v>
      </c>
      <c r="H943" s="2" t="s">
        <v>64</v>
      </c>
      <c r="I943" s="2" t="s">
        <v>44</v>
      </c>
      <c r="J943" s="2">
        <v>4.0</v>
      </c>
      <c r="K943" s="4">
        <v>26046.5</v>
      </c>
      <c r="L943" s="5">
        <v>104186.0</v>
      </c>
      <c r="N943" s="2" t="str">
        <f>IF(Table1[Quantity] &gt; 2, "Bulk Order", "Standard Order")</f>
        <v>Bulk Order</v>
      </c>
    </row>
    <row r="944" ht="15.75" customHeight="1">
      <c r="A944" s="2" t="s">
        <v>2302</v>
      </c>
      <c r="B944" s="3">
        <v>46008.0</v>
      </c>
      <c r="C944" s="2" t="s">
        <v>2303</v>
      </c>
      <c r="D944" s="2" t="s">
        <v>277</v>
      </c>
      <c r="E944" s="2">
        <v>49.0</v>
      </c>
      <c r="F944" s="2" t="s">
        <v>29</v>
      </c>
      <c r="G944" s="2" t="s">
        <v>2194</v>
      </c>
      <c r="H944" s="2" t="s">
        <v>56</v>
      </c>
      <c r="I944" s="2" t="s">
        <v>43</v>
      </c>
      <c r="J944" s="2">
        <v>6.0</v>
      </c>
      <c r="K944" s="4">
        <v>38159.29</v>
      </c>
      <c r="L944" s="5">
        <v>228955.74</v>
      </c>
      <c r="N944" s="2" t="str">
        <f>IF(Table1[Quantity] &gt; 2, "Bulk Order", "Standard Order")</f>
        <v>Bulk Order</v>
      </c>
    </row>
    <row r="945" ht="15.75" customHeight="1">
      <c r="A945" s="2" t="s">
        <v>2304</v>
      </c>
      <c r="B945" s="3">
        <v>45764.0</v>
      </c>
      <c r="C945" s="2" t="s">
        <v>2305</v>
      </c>
      <c r="D945" s="2" t="s">
        <v>602</v>
      </c>
      <c r="E945" s="2">
        <v>24.0</v>
      </c>
      <c r="F945" s="2" t="s">
        <v>29</v>
      </c>
      <c r="G945" s="2" t="s">
        <v>2194</v>
      </c>
      <c r="H945" s="2" t="s">
        <v>74</v>
      </c>
      <c r="I945" s="2" t="s">
        <v>45</v>
      </c>
      <c r="J945" s="2">
        <v>4.0</v>
      </c>
      <c r="K945" s="4">
        <v>35411.73</v>
      </c>
      <c r="L945" s="5">
        <v>141646.92</v>
      </c>
      <c r="N945" s="2" t="str">
        <f>IF(Table1[Quantity] &gt; 2, "Bulk Order", "Standard Order")</f>
        <v>Bulk Order</v>
      </c>
    </row>
    <row r="946" ht="15.75" customHeight="1">
      <c r="A946" s="2" t="s">
        <v>2306</v>
      </c>
      <c r="B946" s="3">
        <v>45852.0</v>
      </c>
      <c r="C946" s="2" t="s">
        <v>2307</v>
      </c>
      <c r="D946" s="2" t="s">
        <v>593</v>
      </c>
      <c r="E946" s="2">
        <v>33.0</v>
      </c>
      <c r="F946" s="2" t="s">
        <v>29</v>
      </c>
      <c r="G946" s="2" t="s">
        <v>2194</v>
      </c>
      <c r="H946" s="2" t="s">
        <v>64</v>
      </c>
      <c r="I946" s="2" t="s">
        <v>44</v>
      </c>
      <c r="J946" s="2">
        <v>2.0</v>
      </c>
      <c r="K946" s="4">
        <v>43693.36</v>
      </c>
      <c r="L946" s="5">
        <v>87386.72</v>
      </c>
      <c r="N946" s="2" t="str">
        <f>IF(Table1[Quantity] &gt; 2, "Bulk Order", "Standard Order")</f>
        <v>Standard Order</v>
      </c>
    </row>
    <row r="947" ht="15.75" customHeight="1">
      <c r="A947" s="2" t="s">
        <v>2308</v>
      </c>
      <c r="B947" s="3">
        <v>45718.0</v>
      </c>
      <c r="C947" s="2" t="s">
        <v>2309</v>
      </c>
      <c r="D947" s="2" t="s">
        <v>925</v>
      </c>
      <c r="E947" s="2">
        <v>24.0</v>
      </c>
      <c r="F947" s="2" t="s">
        <v>37</v>
      </c>
      <c r="G947" s="2" t="s">
        <v>2194</v>
      </c>
      <c r="H947" s="2" t="s">
        <v>64</v>
      </c>
      <c r="I947" s="2" t="s">
        <v>44</v>
      </c>
      <c r="J947" s="2">
        <v>3.0</v>
      </c>
      <c r="K947" s="4">
        <v>37343.19</v>
      </c>
      <c r="L947" s="5">
        <v>112029.57</v>
      </c>
      <c r="N947" s="2" t="str">
        <f>IF(Table1[Quantity] &gt; 2, "Bulk Order", "Standard Order")</f>
        <v>Bulk Order</v>
      </c>
    </row>
    <row r="948" ht="15.75" customHeight="1">
      <c r="A948" s="2" t="s">
        <v>2310</v>
      </c>
      <c r="B948" s="3">
        <v>45729.0</v>
      </c>
      <c r="C948" s="2" t="s">
        <v>2311</v>
      </c>
      <c r="D948" s="2" t="s">
        <v>2064</v>
      </c>
      <c r="E948" s="2">
        <v>37.0</v>
      </c>
      <c r="F948" s="2" t="s">
        <v>37</v>
      </c>
      <c r="G948" s="2" t="s">
        <v>2194</v>
      </c>
      <c r="H948" s="2" t="s">
        <v>64</v>
      </c>
      <c r="I948" s="2" t="s">
        <v>44</v>
      </c>
      <c r="J948" s="2">
        <v>8.0</v>
      </c>
      <c r="K948" s="4">
        <v>7259.89</v>
      </c>
      <c r="L948" s="5">
        <v>58079.12</v>
      </c>
      <c r="N948" s="2" t="str">
        <f>IF(Table1[Quantity] &gt; 2, "Bulk Order", "Standard Order")</f>
        <v>Bulk Order</v>
      </c>
    </row>
    <row r="949" ht="15.75" customHeight="1">
      <c r="A949" s="2" t="s">
        <v>2312</v>
      </c>
      <c r="B949" s="3">
        <v>45785.0</v>
      </c>
      <c r="C949" s="2" t="s">
        <v>2313</v>
      </c>
      <c r="D949" s="2" t="s">
        <v>395</v>
      </c>
      <c r="E949" s="2">
        <v>46.0</v>
      </c>
      <c r="F949" s="2" t="s">
        <v>29</v>
      </c>
      <c r="G949" s="2" t="s">
        <v>2194</v>
      </c>
      <c r="H949" s="2" t="s">
        <v>64</v>
      </c>
      <c r="I949" s="2" t="s">
        <v>44</v>
      </c>
      <c r="J949" s="2">
        <v>1.0</v>
      </c>
      <c r="K949" s="4">
        <v>3971.35</v>
      </c>
      <c r="L949" s="5">
        <v>3971.35</v>
      </c>
      <c r="N949" s="2" t="str">
        <f>IF(Table1[Quantity] &gt; 2, "Bulk Order", "Standard Order")</f>
        <v>Standard Order</v>
      </c>
    </row>
    <row r="950" ht="15.75" customHeight="1">
      <c r="A950" s="2" t="s">
        <v>2314</v>
      </c>
      <c r="B950" s="3">
        <v>46005.0</v>
      </c>
      <c r="C950" s="2" t="s">
        <v>2315</v>
      </c>
      <c r="D950" s="2" t="s">
        <v>846</v>
      </c>
      <c r="E950" s="2">
        <v>52.0</v>
      </c>
      <c r="F950" s="2" t="s">
        <v>37</v>
      </c>
      <c r="G950" s="2" t="s">
        <v>2194</v>
      </c>
      <c r="H950" s="2" t="s">
        <v>60</v>
      </c>
      <c r="I950" s="2" t="s">
        <v>43</v>
      </c>
      <c r="J950" s="2">
        <v>4.0</v>
      </c>
      <c r="K950" s="4">
        <v>26566.32</v>
      </c>
      <c r="L950" s="5">
        <v>106265.28</v>
      </c>
      <c r="N950" s="2" t="str">
        <f>IF(Table1[Quantity] &gt; 2, "Bulk Order", "Standard Order")</f>
        <v>Bulk Order</v>
      </c>
    </row>
    <row r="951" ht="15.75" customHeight="1">
      <c r="A951" s="2" t="s">
        <v>2316</v>
      </c>
      <c r="B951" s="3">
        <v>45691.0</v>
      </c>
      <c r="C951" s="2" t="s">
        <v>2317</v>
      </c>
      <c r="D951" s="2" t="s">
        <v>339</v>
      </c>
      <c r="E951" s="2">
        <v>30.0</v>
      </c>
      <c r="F951" s="2" t="s">
        <v>37</v>
      </c>
      <c r="G951" s="2" t="s">
        <v>2194</v>
      </c>
      <c r="H951" s="2" t="s">
        <v>42</v>
      </c>
      <c r="I951" s="2" t="s">
        <v>41</v>
      </c>
      <c r="J951" s="2">
        <v>10.0</v>
      </c>
      <c r="K951" s="4">
        <v>22952.77</v>
      </c>
      <c r="L951" s="5">
        <v>229527.7</v>
      </c>
      <c r="N951" s="2" t="str">
        <f>IF(Table1[Quantity] &gt; 2, "Bulk Order", "Standard Order")</f>
        <v>Bulk Order</v>
      </c>
    </row>
    <row r="952" ht="15.75" customHeight="1">
      <c r="A952" s="2" t="s">
        <v>2318</v>
      </c>
      <c r="B952" s="3">
        <v>45944.0</v>
      </c>
      <c r="C952" s="2" t="s">
        <v>2319</v>
      </c>
      <c r="D952" s="2" t="s">
        <v>467</v>
      </c>
      <c r="E952" s="2">
        <v>18.0</v>
      </c>
      <c r="F952" s="2" t="s">
        <v>29</v>
      </c>
      <c r="G952" s="2" t="s">
        <v>2194</v>
      </c>
      <c r="H952" s="2" t="s">
        <v>64</v>
      </c>
      <c r="I952" s="2" t="s">
        <v>44</v>
      </c>
      <c r="J952" s="2">
        <v>10.0</v>
      </c>
      <c r="K952" s="4">
        <v>46270.13</v>
      </c>
      <c r="L952" s="5">
        <v>462701.3</v>
      </c>
      <c r="N952" s="2" t="str">
        <f>IF(Table1[Quantity] &gt; 2, "Bulk Order", "Standard Order")</f>
        <v>Bulk Order</v>
      </c>
    </row>
    <row r="953" ht="15.75" customHeight="1">
      <c r="A953" s="2" t="s">
        <v>2320</v>
      </c>
      <c r="B953" s="3">
        <v>45845.0</v>
      </c>
      <c r="C953" s="2" t="s">
        <v>2321</v>
      </c>
      <c r="D953" s="2" t="s">
        <v>2322</v>
      </c>
      <c r="E953" s="2">
        <v>33.0</v>
      </c>
      <c r="F953" s="2" t="s">
        <v>29</v>
      </c>
      <c r="G953" s="2" t="s">
        <v>2194</v>
      </c>
      <c r="H953" s="2" t="s">
        <v>74</v>
      </c>
      <c r="I953" s="2" t="s">
        <v>45</v>
      </c>
      <c r="J953" s="2">
        <v>6.0</v>
      </c>
      <c r="K953" s="4">
        <v>30775.74</v>
      </c>
      <c r="L953" s="5">
        <v>184654.44</v>
      </c>
      <c r="N953" s="2" t="str">
        <f>IF(Table1[Quantity] &gt; 2, "Bulk Order", "Standard Order")</f>
        <v>Bulk Order</v>
      </c>
    </row>
    <row r="954" ht="15.75" customHeight="1">
      <c r="A954" s="2" t="s">
        <v>2323</v>
      </c>
      <c r="B954" s="3">
        <v>45842.0</v>
      </c>
      <c r="C954" s="2" t="s">
        <v>2324</v>
      </c>
      <c r="D954" s="2" t="s">
        <v>1261</v>
      </c>
      <c r="E954" s="2">
        <v>27.0</v>
      </c>
      <c r="F954" s="2" t="s">
        <v>29</v>
      </c>
      <c r="G954" s="2" t="s">
        <v>2194</v>
      </c>
      <c r="H954" s="2" t="s">
        <v>60</v>
      </c>
      <c r="I954" s="2" t="s">
        <v>43</v>
      </c>
      <c r="J954" s="2">
        <v>4.0</v>
      </c>
      <c r="K954" s="4">
        <v>47796.53</v>
      </c>
      <c r="L954" s="5">
        <v>191186.12</v>
      </c>
      <c r="N954" s="2" t="str">
        <f>IF(Table1[Quantity] &gt; 2, "Bulk Order", "Standard Order")</f>
        <v>Bulk Order</v>
      </c>
    </row>
    <row r="955" ht="15.75" customHeight="1">
      <c r="A955" s="2" t="s">
        <v>2325</v>
      </c>
      <c r="B955" s="3">
        <v>46022.0</v>
      </c>
      <c r="C955" s="2" t="s">
        <v>2326</v>
      </c>
      <c r="D955" s="2" t="s">
        <v>666</v>
      </c>
      <c r="E955" s="2">
        <v>29.0</v>
      </c>
      <c r="F955" s="2" t="s">
        <v>29</v>
      </c>
      <c r="G955" s="2" t="s">
        <v>2194</v>
      </c>
      <c r="H955" s="2" t="s">
        <v>74</v>
      </c>
      <c r="I955" s="2" t="s">
        <v>45</v>
      </c>
      <c r="J955" s="2">
        <v>6.0</v>
      </c>
      <c r="K955" s="4">
        <v>16639.76</v>
      </c>
      <c r="L955" s="5">
        <v>99838.56</v>
      </c>
      <c r="N955" s="2" t="str">
        <f>IF(Table1[Quantity] &gt; 2, "Bulk Order", "Standard Order")</f>
        <v>Bulk Order</v>
      </c>
    </row>
    <row r="956" ht="15.75" customHeight="1">
      <c r="A956" s="2" t="s">
        <v>2327</v>
      </c>
      <c r="B956" s="3">
        <v>45991.0</v>
      </c>
      <c r="C956" s="2" t="s">
        <v>2328</v>
      </c>
      <c r="D956" s="2" t="s">
        <v>1880</v>
      </c>
      <c r="E956" s="2">
        <v>26.0</v>
      </c>
      <c r="F956" s="2" t="s">
        <v>29</v>
      </c>
      <c r="G956" s="2" t="s">
        <v>2194</v>
      </c>
      <c r="H956" s="2" t="s">
        <v>74</v>
      </c>
      <c r="I956" s="2" t="s">
        <v>45</v>
      </c>
      <c r="J956" s="2">
        <v>2.0</v>
      </c>
      <c r="K956" s="4">
        <v>3215.11</v>
      </c>
      <c r="L956" s="5">
        <v>6430.22</v>
      </c>
      <c r="N956" s="2" t="str">
        <f>IF(Table1[Quantity] &gt; 2, "Bulk Order", "Standard Order")</f>
        <v>Standard Order</v>
      </c>
    </row>
    <row r="957" ht="15.75" customHeight="1">
      <c r="A957" s="2" t="s">
        <v>2329</v>
      </c>
      <c r="B957" s="3">
        <v>45765.0</v>
      </c>
      <c r="C957" s="2" t="s">
        <v>1504</v>
      </c>
      <c r="D957" s="2" t="s">
        <v>957</v>
      </c>
      <c r="E957" s="2">
        <v>51.0</v>
      </c>
      <c r="F957" s="2" t="s">
        <v>29</v>
      </c>
      <c r="G957" s="2" t="s">
        <v>2194</v>
      </c>
      <c r="H957" s="2" t="s">
        <v>60</v>
      </c>
      <c r="I957" s="2" t="s">
        <v>43</v>
      </c>
      <c r="J957" s="2">
        <v>9.0</v>
      </c>
      <c r="K957" s="4">
        <v>29470.1</v>
      </c>
      <c r="L957" s="5">
        <v>265230.9</v>
      </c>
      <c r="N957" s="2" t="str">
        <f>IF(Table1[Quantity] &gt; 2, "Bulk Order", "Standard Order")</f>
        <v>Bulk Order</v>
      </c>
    </row>
    <row r="958" ht="15.75" customHeight="1">
      <c r="A958" s="2" t="s">
        <v>2330</v>
      </c>
      <c r="B958" s="3">
        <v>45844.0</v>
      </c>
      <c r="C958" s="2" t="s">
        <v>2331</v>
      </c>
      <c r="D958" s="2" t="s">
        <v>190</v>
      </c>
      <c r="E958" s="2">
        <v>24.0</v>
      </c>
      <c r="F958" s="2" t="s">
        <v>37</v>
      </c>
      <c r="G958" s="2" t="s">
        <v>2194</v>
      </c>
      <c r="H958" s="2" t="s">
        <v>74</v>
      </c>
      <c r="I958" s="2" t="s">
        <v>45</v>
      </c>
      <c r="J958" s="2">
        <v>4.0</v>
      </c>
      <c r="K958" s="4">
        <v>43864.35</v>
      </c>
      <c r="L958" s="5">
        <v>175457.4</v>
      </c>
      <c r="N958" s="2" t="str">
        <f>IF(Table1[Quantity] &gt; 2, "Bulk Order", "Standard Order")</f>
        <v>Bulk Order</v>
      </c>
    </row>
    <row r="959" ht="15.75" customHeight="1">
      <c r="A959" s="2" t="s">
        <v>2332</v>
      </c>
      <c r="B959" s="3">
        <v>45715.0</v>
      </c>
      <c r="C959" s="2" t="s">
        <v>2333</v>
      </c>
      <c r="D959" s="2" t="s">
        <v>1211</v>
      </c>
      <c r="E959" s="2">
        <v>52.0</v>
      </c>
      <c r="F959" s="2" t="s">
        <v>37</v>
      </c>
      <c r="G959" s="2" t="s">
        <v>2194</v>
      </c>
      <c r="H959" s="2" t="s">
        <v>64</v>
      </c>
      <c r="I959" s="2" t="s">
        <v>44</v>
      </c>
      <c r="J959" s="2">
        <v>5.0</v>
      </c>
      <c r="K959" s="4">
        <v>42114.22</v>
      </c>
      <c r="L959" s="5">
        <v>210571.1</v>
      </c>
      <c r="N959" s="2" t="str">
        <f>IF(Table1[Quantity] &gt; 2, "Bulk Order", "Standard Order")</f>
        <v>Bulk Order</v>
      </c>
    </row>
    <row r="960" ht="15.75" customHeight="1">
      <c r="A960" s="2" t="s">
        <v>2334</v>
      </c>
      <c r="B960" s="3">
        <v>45913.0</v>
      </c>
      <c r="C960" s="2" t="s">
        <v>2335</v>
      </c>
      <c r="D960" s="2" t="s">
        <v>1466</v>
      </c>
      <c r="E960" s="2">
        <v>26.0</v>
      </c>
      <c r="F960" s="2" t="s">
        <v>37</v>
      </c>
      <c r="G960" s="2" t="s">
        <v>2194</v>
      </c>
      <c r="H960" s="2" t="s">
        <v>74</v>
      </c>
      <c r="I960" s="2" t="s">
        <v>45</v>
      </c>
      <c r="J960" s="2">
        <v>5.0</v>
      </c>
      <c r="K960" s="4">
        <v>15011.99</v>
      </c>
      <c r="L960" s="5">
        <v>75059.95</v>
      </c>
      <c r="N960" s="2" t="str">
        <f>IF(Table1[Quantity] &gt; 2, "Bulk Order", "Standard Order")</f>
        <v>Bulk Order</v>
      </c>
    </row>
    <row r="961" ht="15.75" customHeight="1">
      <c r="A961" s="2" t="s">
        <v>2336</v>
      </c>
      <c r="B961" s="3">
        <v>45844.0</v>
      </c>
      <c r="C961" s="2" t="s">
        <v>2337</v>
      </c>
      <c r="D961" s="2" t="s">
        <v>638</v>
      </c>
      <c r="E961" s="2">
        <v>38.0</v>
      </c>
      <c r="F961" s="2" t="s">
        <v>37</v>
      </c>
      <c r="G961" s="2" t="s">
        <v>2194</v>
      </c>
      <c r="H961" s="2" t="s">
        <v>64</v>
      </c>
      <c r="I961" s="2" t="s">
        <v>44</v>
      </c>
      <c r="J961" s="2">
        <v>7.0</v>
      </c>
      <c r="K961" s="4">
        <v>26916.23</v>
      </c>
      <c r="L961" s="5">
        <v>188413.61</v>
      </c>
      <c r="N961" s="2" t="str">
        <f>IF(Table1[Quantity] &gt; 2, "Bulk Order", "Standard Order")</f>
        <v>Bulk Order</v>
      </c>
    </row>
    <row r="962" ht="15.75" customHeight="1">
      <c r="A962" s="2" t="s">
        <v>2338</v>
      </c>
      <c r="B962" s="3">
        <v>45701.0</v>
      </c>
      <c r="C962" s="2" t="s">
        <v>2339</v>
      </c>
      <c r="D962" s="2" t="s">
        <v>1114</v>
      </c>
      <c r="E962" s="2">
        <v>22.0</v>
      </c>
      <c r="F962" s="2" t="s">
        <v>37</v>
      </c>
      <c r="G962" s="2" t="s">
        <v>2194</v>
      </c>
      <c r="H962" s="2" t="s">
        <v>74</v>
      </c>
      <c r="I962" s="2" t="s">
        <v>45</v>
      </c>
      <c r="J962" s="2">
        <v>6.0</v>
      </c>
      <c r="K962" s="4">
        <v>27085.46</v>
      </c>
      <c r="L962" s="5">
        <v>162512.76</v>
      </c>
      <c r="N962" s="2" t="str">
        <f>IF(Table1[Quantity] &gt; 2, "Bulk Order", "Standard Order")</f>
        <v>Bulk Order</v>
      </c>
    </row>
    <row r="963" ht="15.75" customHeight="1">
      <c r="A963" s="2" t="s">
        <v>2340</v>
      </c>
      <c r="B963" s="3">
        <v>45961.0</v>
      </c>
      <c r="C963" s="2" t="s">
        <v>2341</v>
      </c>
      <c r="D963" s="2" t="s">
        <v>1914</v>
      </c>
      <c r="E963" s="2">
        <v>33.0</v>
      </c>
      <c r="F963" s="2" t="s">
        <v>37</v>
      </c>
      <c r="G963" s="2" t="s">
        <v>2194</v>
      </c>
      <c r="H963" s="2" t="s">
        <v>31</v>
      </c>
      <c r="I963" s="2" t="s">
        <v>32</v>
      </c>
      <c r="J963" s="2">
        <v>7.0</v>
      </c>
      <c r="K963" s="4">
        <v>9084.03</v>
      </c>
      <c r="L963" s="5">
        <v>63588.21</v>
      </c>
      <c r="N963" s="2" t="str">
        <f>IF(Table1[Quantity] &gt; 2, "Bulk Order", "Standard Order")</f>
        <v>Bulk Order</v>
      </c>
    </row>
    <row r="964" ht="15.75" customHeight="1">
      <c r="A964" s="2" t="s">
        <v>2342</v>
      </c>
      <c r="B964" s="3">
        <v>45911.0</v>
      </c>
      <c r="C964" s="2" t="s">
        <v>1101</v>
      </c>
      <c r="D964" s="2" t="s">
        <v>2073</v>
      </c>
      <c r="E964" s="2">
        <v>29.0</v>
      </c>
      <c r="F964" s="2" t="s">
        <v>37</v>
      </c>
      <c r="G964" s="2" t="s">
        <v>2194</v>
      </c>
      <c r="H964" s="2" t="s">
        <v>74</v>
      </c>
      <c r="I964" s="2" t="s">
        <v>45</v>
      </c>
      <c r="J964" s="2">
        <v>8.0</v>
      </c>
      <c r="K964" s="4">
        <v>8692.39</v>
      </c>
      <c r="L964" s="5">
        <v>69539.12</v>
      </c>
      <c r="N964" s="2" t="str">
        <f>IF(Table1[Quantity] &gt; 2, "Bulk Order", "Standard Order")</f>
        <v>Bulk Order</v>
      </c>
    </row>
    <row r="965" ht="15.75" customHeight="1">
      <c r="A965" s="2" t="s">
        <v>2343</v>
      </c>
      <c r="B965" s="3">
        <v>45974.0</v>
      </c>
      <c r="C965" s="2" t="s">
        <v>2344</v>
      </c>
      <c r="D965" s="2" t="s">
        <v>216</v>
      </c>
      <c r="E965" s="2">
        <v>22.0</v>
      </c>
      <c r="F965" s="2" t="s">
        <v>37</v>
      </c>
      <c r="G965" s="2" t="s">
        <v>2194</v>
      </c>
      <c r="H965" s="2" t="s">
        <v>56</v>
      </c>
      <c r="I965" s="2" t="s">
        <v>43</v>
      </c>
      <c r="J965" s="2">
        <v>4.0</v>
      </c>
      <c r="K965" s="4">
        <v>30973.53</v>
      </c>
      <c r="L965" s="5">
        <v>123894.12</v>
      </c>
      <c r="N965" s="2" t="str">
        <f>IF(Table1[Quantity] &gt; 2, "Bulk Order", "Standard Order")</f>
        <v>Bulk Order</v>
      </c>
    </row>
    <row r="966" ht="15.75" customHeight="1">
      <c r="A966" s="2" t="s">
        <v>2345</v>
      </c>
      <c r="B966" s="3">
        <v>45668.0</v>
      </c>
      <c r="C966" s="2" t="s">
        <v>2346</v>
      </c>
      <c r="D966" s="2" t="s">
        <v>1084</v>
      </c>
      <c r="E966" s="2">
        <v>60.0</v>
      </c>
      <c r="F966" s="2" t="s">
        <v>29</v>
      </c>
      <c r="G966" s="2" t="s">
        <v>2194</v>
      </c>
      <c r="H966" s="2" t="s">
        <v>42</v>
      </c>
      <c r="I966" s="2" t="s">
        <v>41</v>
      </c>
      <c r="J966" s="2">
        <v>6.0</v>
      </c>
      <c r="K966" s="4">
        <v>24375.93</v>
      </c>
      <c r="L966" s="5">
        <v>146255.58</v>
      </c>
      <c r="N966" s="2" t="str">
        <f>IF(Table1[Quantity] &gt; 2, "Bulk Order", "Standard Order")</f>
        <v>Bulk Order</v>
      </c>
    </row>
    <row r="967" ht="15.75" customHeight="1">
      <c r="A967" s="2" t="s">
        <v>2347</v>
      </c>
      <c r="B967" s="3">
        <v>45940.0</v>
      </c>
      <c r="C967" s="2" t="s">
        <v>2348</v>
      </c>
      <c r="D967" s="2" t="s">
        <v>1447</v>
      </c>
      <c r="E967" s="2">
        <v>23.0</v>
      </c>
      <c r="F967" s="2" t="s">
        <v>37</v>
      </c>
      <c r="G967" s="2" t="s">
        <v>2194</v>
      </c>
      <c r="H967" s="2" t="s">
        <v>60</v>
      </c>
      <c r="I967" s="2" t="s">
        <v>43</v>
      </c>
      <c r="J967" s="2">
        <v>1.0</v>
      </c>
      <c r="K967" s="4">
        <v>42736.43</v>
      </c>
      <c r="L967" s="5">
        <v>42736.43</v>
      </c>
      <c r="N967" s="2" t="str">
        <f>IF(Table1[Quantity] &gt; 2, "Bulk Order", "Standard Order")</f>
        <v>Standard Order</v>
      </c>
    </row>
    <row r="968" ht="15.75" customHeight="1">
      <c r="A968" s="2" t="s">
        <v>2349</v>
      </c>
      <c r="B968" s="3">
        <v>46002.0</v>
      </c>
      <c r="C968" s="2" t="s">
        <v>2350</v>
      </c>
      <c r="D968" s="2" t="s">
        <v>521</v>
      </c>
      <c r="E968" s="2">
        <v>43.0</v>
      </c>
      <c r="F968" s="2" t="s">
        <v>29</v>
      </c>
      <c r="G968" s="2" t="s">
        <v>2194</v>
      </c>
      <c r="H968" s="2" t="s">
        <v>74</v>
      </c>
      <c r="I968" s="2" t="s">
        <v>45</v>
      </c>
      <c r="J968" s="2">
        <v>3.0</v>
      </c>
      <c r="K968" s="4">
        <v>25235.41</v>
      </c>
      <c r="L968" s="5">
        <v>75706.23</v>
      </c>
      <c r="N968" s="2" t="str">
        <f>IF(Table1[Quantity] &gt; 2, "Bulk Order", "Standard Order")</f>
        <v>Bulk Order</v>
      </c>
    </row>
    <row r="969" ht="15.75" customHeight="1">
      <c r="A969" s="2" t="s">
        <v>2351</v>
      </c>
      <c r="B969" s="3">
        <v>45833.0</v>
      </c>
      <c r="C969" s="2" t="s">
        <v>2352</v>
      </c>
      <c r="D969" s="2" t="s">
        <v>261</v>
      </c>
      <c r="E969" s="2">
        <v>40.0</v>
      </c>
      <c r="F969" s="2" t="s">
        <v>37</v>
      </c>
      <c r="G969" s="2" t="s">
        <v>2194</v>
      </c>
      <c r="H969" s="2" t="s">
        <v>42</v>
      </c>
      <c r="I969" s="2" t="s">
        <v>41</v>
      </c>
      <c r="J969" s="2">
        <v>8.0</v>
      </c>
      <c r="K969" s="4">
        <v>35859.94</v>
      </c>
      <c r="L969" s="5">
        <v>286879.52</v>
      </c>
      <c r="N969" s="2" t="str">
        <f>IF(Table1[Quantity] &gt; 2, "Bulk Order", "Standard Order")</f>
        <v>Bulk Order</v>
      </c>
    </row>
    <row r="970" ht="15.75" customHeight="1">
      <c r="A970" s="2" t="s">
        <v>2353</v>
      </c>
      <c r="B970" s="3">
        <v>45981.0</v>
      </c>
      <c r="C970" s="2" t="s">
        <v>2354</v>
      </c>
      <c r="D970" s="2" t="s">
        <v>455</v>
      </c>
      <c r="E970" s="2">
        <v>19.0</v>
      </c>
      <c r="F970" s="2" t="s">
        <v>29</v>
      </c>
      <c r="G970" s="2" t="s">
        <v>2194</v>
      </c>
      <c r="H970" s="2" t="s">
        <v>60</v>
      </c>
      <c r="I970" s="2" t="s">
        <v>43</v>
      </c>
      <c r="J970" s="2">
        <v>2.0</v>
      </c>
      <c r="K970" s="4">
        <v>45217.92</v>
      </c>
      <c r="L970" s="5">
        <v>90435.84</v>
      </c>
      <c r="N970" s="2" t="str">
        <f>IF(Table1[Quantity] &gt; 2, "Bulk Order", "Standard Order")</f>
        <v>Standard Order</v>
      </c>
    </row>
    <row r="971" ht="15.75" customHeight="1">
      <c r="A971" s="2" t="s">
        <v>2355</v>
      </c>
      <c r="B971" s="3">
        <v>45822.0</v>
      </c>
      <c r="C971" s="2" t="s">
        <v>2356</v>
      </c>
      <c r="D971" s="2" t="s">
        <v>689</v>
      </c>
      <c r="E971" s="2">
        <v>38.0</v>
      </c>
      <c r="F971" s="2" t="s">
        <v>37</v>
      </c>
      <c r="G971" s="2" t="s">
        <v>2194</v>
      </c>
      <c r="H971" s="2" t="s">
        <v>64</v>
      </c>
      <c r="I971" s="2" t="s">
        <v>44</v>
      </c>
      <c r="J971" s="2">
        <v>5.0</v>
      </c>
      <c r="K971" s="4">
        <v>8055.03</v>
      </c>
      <c r="L971" s="5">
        <v>40275.15</v>
      </c>
      <c r="N971" s="2" t="str">
        <f>IF(Table1[Quantity] &gt; 2, "Bulk Order", "Standard Order")</f>
        <v>Bulk Order</v>
      </c>
    </row>
    <row r="972" ht="15.75" customHeight="1">
      <c r="A972" s="2" t="s">
        <v>2357</v>
      </c>
      <c r="B972" s="3">
        <v>45732.0</v>
      </c>
      <c r="C972" s="2" t="s">
        <v>2358</v>
      </c>
      <c r="D972" s="2" t="s">
        <v>1227</v>
      </c>
      <c r="E972" s="2">
        <v>22.0</v>
      </c>
      <c r="F972" s="2" t="s">
        <v>29</v>
      </c>
      <c r="G972" s="2" t="s">
        <v>2194</v>
      </c>
      <c r="H972" s="2" t="s">
        <v>42</v>
      </c>
      <c r="I972" s="2" t="s">
        <v>41</v>
      </c>
      <c r="J972" s="2">
        <v>1.0</v>
      </c>
      <c r="K972" s="4">
        <v>27918.98</v>
      </c>
      <c r="L972" s="5">
        <v>27918.98</v>
      </c>
      <c r="N972" s="2" t="str">
        <f>IF(Table1[Quantity] &gt; 2, "Bulk Order", "Standard Order")</f>
        <v>Standard Order</v>
      </c>
    </row>
    <row r="973" ht="15.75" customHeight="1">
      <c r="A973" s="2" t="s">
        <v>2359</v>
      </c>
      <c r="B973" s="3">
        <v>45881.0</v>
      </c>
      <c r="C973" s="2" t="s">
        <v>2360</v>
      </c>
      <c r="D973" s="2" t="s">
        <v>2361</v>
      </c>
      <c r="E973" s="2">
        <v>34.0</v>
      </c>
      <c r="F973" s="2" t="s">
        <v>37</v>
      </c>
      <c r="G973" s="2" t="s">
        <v>2194</v>
      </c>
      <c r="H973" s="2" t="s">
        <v>74</v>
      </c>
      <c r="I973" s="2" t="s">
        <v>45</v>
      </c>
      <c r="J973" s="2">
        <v>1.0</v>
      </c>
      <c r="K973" s="4">
        <v>21572.48</v>
      </c>
      <c r="L973" s="5">
        <v>21572.48</v>
      </c>
      <c r="N973" s="2" t="str">
        <f>IF(Table1[Quantity] &gt; 2, "Bulk Order", "Standard Order")</f>
        <v>Standard Order</v>
      </c>
    </row>
    <row r="974" ht="15.75" customHeight="1">
      <c r="A974" s="2" t="s">
        <v>2362</v>
      </c>
      <c r="B974" s="3">
        <v>45672.0</v>
      </c>
      <c r="C974" s="2" t="s">
        <v>2363</v>
      </c>
      <c r="D974" s="2" t="s">
        <v>2364</v>
      </c>
      <c r="E974" s="2">
        <v>21.0</v>
      </c>
      <c r="F974" s="2" t="s">
        <v>29</v>
      </c>
      <c r="G974" s="2" t="s">
        <v>2194</v>
      </c>
      <c r="H974" s="2" t="s">
        <v>31</v>
      </c>
      <c r="I974" s="2" t="s">
        <v>32</v>
      </c>
      <c r="J974" s="2">
        <v>8.0</v>
      </c>
      <c r="K974" s="4">
        <v>38808.88</v>
      </c>
      <c r="L974" s="5">
        <v>310471.04</v>
      </c>
      <c r="N974" s="2" t="str">
        <f>IF(Table1[Quantity] &gt; 2, "Bulk Order", "Standard Order")</f>
        <v>Bulk Order</v>
      </c>
    </row>
    <row r="975" ht="15.75" customHeight="1">
      <c r="A975" s="2" t="s">
        <v>2365</v>
      </c>
      <c r="B975" s="3">
        <v>45741.0</v>
      </c>
      <c r="C975" s="2" t="s">
        <v>2366</v>
      </c>
      <c r="D975" s="2" t="s">
        <v>1004</v>
      </c>
      <c r="E975" s="2">
        <v>55.0</v>
      </c>
      <c r="F975" s="2" t="s">
        <v>29</v>
      </c>
      <c r="G975" s="2" t="s">
        <v>2194</v>
      </c>
      <c r="H975" s="2" t="s">
        <v>31</v>
      </c>
      <c r="I975" s="2" t="s">
        <v>32</v>
      </c>
      <c r="J975" s="2">
        <v>9.0</v>
      </c>
      <c r="K975" s="4">
        <v>36721.83</v>
      </c>
      <c r="L975" s="5">
        <v>330496.47</v>
      </c>
      <c r="N975" s="2" t="str">
        <f>IF(Table1[Quantity] &gt; 2, "Bulk Order", "Standard Order")</f>
        <v>Bulk Order</v>
      </c>
    </row>
    <row r="976" ht="15.75" customHeight="1">
      <c r="A976" s="2" t="s">
        <v>2367</v>
      </c>
      <c r="B976" s="3">
        <v>45795.0</v>
      </c>
      <c r="C976" s="2" t="s">
        <v>2368</v>
      </c>
      <c r="D976" s="2" t="s">
        <v>571</v>
      </c>
      <c r="E976" s="2">
        <v>25.0</v>
      </c>
      <c r="F976" s="2" t="s">
        <v>29</v>
      </c>
      <c r="G976" s="2" t="s">
        <v>2194</v>
      </c>
      <c r="H976" s="2" t="s">
        <v>64</v>
      </c>
      <c r="I976" s="2" t="s">
        <v>44</v>
      </c>
      <c r="J976" s="2">
        <v>3.0</v>
      </c>
      <c r="K976" s="4">
        <v>30814.91</v>
      </c>
      <c r="L976" s="5">
        <v>92444.73</v>
      </c>
      <c r="N976" s="2" t="str">
        <f>IF(Table1[Quantity] &gt; 2, "Bulk Order", "Standard Order")</f>
        <v>Bulk Order</v>
      </c>
    </row>
    <row r="977" ht="15.75" customHeight="1">
      <c r="A977" s="2" t="s">
        <v>2369</v>
      </c>
      <c r="B977" s="3">
        <v>46006.0</v>
      </c>
      <c r="C977" s="2" t="s">
        <v>2370</v>
      </c>
      <c r="D977" s="2" t="s">
        <v>1572</v>
      </c>
      <c r="E977" s="2">
        <v>64.0</v>
      </c>
      <c r="F977" s="2" t="s">
        <v>37</v>
      </c>
      <c r="G977" s="2" t="s">
        <v>2194</v>
      </c>
      <c r="H977" s="2" t="s">
        <v>64</v>
      </c>
      <c r="I977" s="2" t="s">
        <v>44</v>
      </c>
      <c r="J977" s="2">
        <v>10.0</v>
      </c>
      <c r="K977" s="4">
        <v>28254.51</v>
      </c>
      <c r="L977" s="5">
        <v>282545.1</v>
      </c>
      <c r="N977" s="2" t="str">
        <f>IF(Table1[Quantity] &gt; 2, "Bulk Order", "Standard Order")</f>
        <v>Bulk Order</v>
      </c>
    </row>
    <row r="978" ht="15.75" customHeight="1">
      <c r="A978" s="2" t="s">
        <v>2371</v>
      </c>
      <c r="B978" s="3">
        <v>45866.0</v>
      </c>
      <c r="C978" s="2" t="s">
        <v>557</v>
      </c>
      <c r="D978" s="2" t="s">
        <v>2293</v>
      </c>
      <c r="E978" s="2">
        <v>22.0</v>
      </c>
      <c r="F978" s="2" t="s">
        <v>29</v>
      </c>
      <c r="G978" s="2" t="s">
        <v>2194</v>
      </c>
      <c r="H978" s="2" t="s">
        <v>64</v>
      </c>
      <c r="I978" s="2" t="s">
        <v>44</v>
      </c>
      <c r="J978" s="2">
        <v>3.0</v>
      </c>
      <c r="K978" s="4">
        <v>43152.69</v>
      </c>
      <c r="L978" s="5">
        <v>129458.07</v>
      </c>
      <c r="N978" s="2" t="str">
        <f>IF(Table1[Quantity] &gt; 2, "Bulk Order", "Standard Order")</f>
        <v>Bulk Order</v>
      </c>
    </row>
    <row r="979" ht="15.75" customHeight="1">
      <c r="A979" s="2" t="s">
        <v>2372</v>
      </c>
      <c r="B979" s="3">
        <v>45750.0</v>
      </c>
      <c r="C979" s="2" t="s">
        <v>2373</v>
      </c>
      <c r="D979" s="2" t="s">
        <v>77</v>
      </c>
      <c r="E979" s="2">
        <v>32.0</v>
      </c>
      <c r="F979" s="2" t="s">
        <v>29</v>
      </c>
      <c r="G979" s="2" t="s">
        <v>2194</v>
      </c>
      <c r="H979" s="2" t="s">
        <v>56</v>
      </c>
      <c r="I979" s="2" t="s">
        <v>43</v>
      </c>
      <c r="J979" s="2">
        <v>3.0</v>
      </c>
      <c r="K979" s="4">
        <v>30169.38</v>
      </c>
      <c r="L979" s="5">
        <v>90508.14</v>
      </c>
      <c r="N979" s="2" t="str">
        <f>IF(Table1[Quantity] &gt; 2, "Bulk Order", "Standard Order")</f>
        <v>Bulk Order</v>
      </c>
    </row>
    <row r="980" ht="15.75" customHeight="1">
      <c r="A980" s="2" t="s">
        <v>2374</v>
      </c>
      <c r="B980" s="3">
        <v>45980.0</v>
      </c>
      <c r="C980" s="2" t="s">
        <v>2375</v>
      </c>
      <c r="D980" s="2" t="s">
        <v>587</v>
      </c>
      <c r="E980" s="2">
        <v>41.0</v>
      </c>
      <c r="F980" s="2" t="s">
        <v>29</v>
      </c>
      <c r="G980" s="2" t="s">
        <v>2194</v>
      </c>
      <c r="H980" s="2" t="s">
        <v>64</v>
      </c>
      <c r="I980" s="2" t="s">
        <v>44</v>
      </c>
      <c r="J980" s="2">
        <v>5.0</v>
      </c>
      <c r="K980" s="4">
        <v>30991.63</v>
      </c>
      <c r="L980" s="5">
        <v>154958.15</v>
      </c>
      <c r="N980" s="2" t="str">
        <f>IF(Table1[Quantity] &gt; 2, "Bulk Order", "Standard Order")</f>
        <v>Bulk Order</v>
      </c>
    </row>
    <row r="981" ht="15.75" customHeight="1">
      <c r="A981" s="2" t="s">
        <v>2376</v>
      </c>
      <c r="B981" s="3">
        <v>45928.0</v>
      </c>
      <c r="C981" s="2" t="s">
        <v>352</v>
      </c>
      <c r="D981" s="2" t="s">
        <v>1123</v>
      </c>
      <c r="E981" s="2">
        <v>30.0</v>
      </c>
      <c r="F981" s="2" t="s">
        <v>37</v>
      </c>
      <c r="G981" s="2" t="s">
        <v>2194</v>
      </c>
      <c r="H981" s="2" t="s">
        <v>64</v>
      </c>
      <c r="I981" s="2" t="s">
        <v>44</v>
      </c>
      <c r="J981" s="2">
        <v>3.0</v>
      </c>
      <c r="K981" s="4">
        <v>44146.06</v>
      </c>
      <c r="L981" s="5">
        <v>132438.18</v>
      </c>
      <c r="N981" s="2" t="str">
        <f>IF(Table1[Quantity] &gt; 2, "Bulk Order", "Standard Order")</f>
        <v>Bulk Order</v>
      </c>
    </row>
    <row r="982" ht="15.75" customHeight="1">
      <c r="A982" s="2" t="s">
        <v>2377</v>
      </c>
      <c r="B982" s="3">
        <v>45865.0</v>
      </c>
      <c r="C982" s="2" t="s">
        <v>2378</v>
      </c>
      <c r="D982" s="2" t="s">
        <v>618</v>
      </c>
      <c r="E982" s="2">
        <v>64.0</v>
      </c>
      <c r="F982" s="2" t="s">
        <v>37</v>
      </c>
      <c r="G982" s="2" t="s">
        <v>2194</v>
      </c>
      <c r="H982" s="2" t="s">
        <v>60</v>
      </c>
      <c r="I982" s="2" t="s">
        <v>43</v>
      </c>
      <c r="J982" s="2">
        <v>5.0</v>
      </c>
      <c r="K982" s="4">
        <v>16990.85</v>
      </c>
      <c r="L982" s="5">
        <v>84954.25</v>
      </c>
      <c r="N982" s="2" t="str">
        <f>IF(Table1[Quantity] &gt; 2, "Bulk Order", "Standard Order")</f>
        <v>Bulk Order</v>
      </c>
    </row>
    <row r="983" ht="15.75" customHeight="1">
      <c r="A983" s="2" t="s">
        <v>2379</v>
      </c>
      <c r="B983" s="3">
        <v>45962.0</v>
      </c>
      <c r="C983" s="2" t="s">
        <v>2380</v>
      </c>
      <c r="D983" s="2" t="s">
        <v>501</v>
      </c>
      <c r="F983" s="2" t="s">
        <v>37</v>
      </c>
      <c r="G983" s="2" t="s">
        <v>2194</v>
      </c>
      <c r="H983" s="2" t="s">
        <v>60</v>
      </c>
      <c r="I983" s="2" t="s">
        <v>43</v>
      </c>
      <c r="J983" s="2">
        <v>9.0</v>
      </c>
      <c r="K983" s="4">
        <v>34569.56</v>
      </c>
      <c r="L983" s="5">
        <v>311126.04</v>
      </c>
      <c r="N983" s="2" t="str">
        <f>IF(Table1[Quantity] &gt; 2, "Bulk Order", "Standard Order")</f>
        <v>Bulk Order</v>
      </c>
    </row>
    <row r="984" ht="15.75" customHeight="1">
      <c r="A984" s="2" t="s">
        <v>2381</v>
      </c>
      <c r="B984" s="3">
        <v>45794.0</v>
      </c>
      <c r="C984" s="2" t="s">
        <v>2382</v>
      </c>
      <c r="D984" s="2" t="s">
        <v>768</v>
      </c>
      <c r="E984" s="2">
        <v>22.0</v>
      </c>
      <c r="F984" s="2" t="s">
        <v>37</v>
      </c>
      <c r="G984" s="2" t="s">
        <v>2194</v>
      </c>
      <c r="H984" s="2" t="s">
        <v>56</v>
      </c>
      <c r="I984" s="2" t="s">
        <v>43</v>
      </c>
      <c r="J984" s="2">
        <v>8.0</v>
      </c>
      <c r="K984" s="4">
        <v>29747.29</v>
      </c>
      <c r="L984" s="5">
        <v>237978.32</v>
      </c>
      <c r="N984" s="2" t="str">
        <f>IF(Table1[Quantity] &gt; 2, "Bulk Order", "Standard Order")</f>
        <v>Bulk Order</v>
      </c>
    </row>
    <row r="985" ht="15.75" customHeight="1">
      <c r="A985" s="2" t="s">
        <v>2383</v>
      </c>
      <c r="B985" s="3">
        <v>45902.0</v>
      </c>
      <c r="C985" s="2" t="s">
        <v>2384</v>
      </c>
      <c r="D985" s="2" t="s">
        <v>216</v>
      </c>
      <c r="E985" s="2">
        <v>20.0</v>
      </c>
      <c r="F985" s="2" t="s">
        <v>37</v>
      </c>
      <c r="G985" s="2" t="s">
        <v>2194</v>
      </c>
      <c r="H985" s="2" t="s">
        <v>56</v>
      </c>
      <c r="I985" s="2" t="s">
        <v>43</v>
      </c>
      <c r="J985" s="2">
        <v>2.0</v>
      </c>
      <c r="K985" s="4">
        <v>39578.6</v>
      </c>
      <c r="L985" s="5">
        <v>79157.2</v>
      </c>
      <c r="N985" s="2" t="str">
        <f>IF(Table1[Quantity] &gt; 2, "Bulk Order", "Standard Order")</f>
        <v>Standard Order</v>
      </c>
    </row>
    <row r="986" ht="15.75" customHeight="1">
      <c r="A986" s="2" t="s">
        <v>2385</v>
      </c>
      <c r="B986" s="3">
        <v>45983.0</v>
      </c>
      <c r="C986" s="2" t="s">
        <v>2386</v>
      </c>
      <c r="D986" s="2" t="s">
        <v>157</v>
      </c>
      <c r="E986" s="2">
        <v>30.0</v>
      </c>
      <c r="F986" s="2" t="s">
        <v>37</v>
      </c>
      <c r="G986" s="2" t="s">
        <v>2194</v>
      </c>
      <c r="H986" s="2" t="s">
        <v>60</v>
      </c>
      <c r="I986" s="2" t="s">
        <v>43</v>
      </c>
      <c r="J986" s="2">
        <v>5.0</v>
      </c>
      <c r="K986" s="4">
        <v>16513.54</v>
      </c>
      <c r="L986" s="5">
        <v>82567.7</v>
      </c>
      <c r="N986" s="2" t="str">
        <f>IF(Table1[Quantity] &gt; 2, "Bulk Order", "Standard Order")</f>
        <v>Bulk Order</v>
      </c>
    </row>
    <row r="987" ht="15.75" customHeight="1">
      <c r="A987" s="2" t="s">
        <v>2387</v>
      </c>
      <c r="B987" s="3">
        <v>46007.0</v>
      </c>
      <c r="C987" s="2" t="s">
        <v>2388</v>
      </c>
      <c r="D987" s="2" t="s">
        <v>1078</v>
      </c>
      <c r="E987" s="2">
        <v>27.0</v>
      </c>
      <c r="F987" s="2" t="s">
        <v>29</v>
      </c>
      <c r="G987" s="2" t="s">
        <v>2194</v>
      </c>
      <c r="H987" s="2" t="s">
        <v>56</v>
      </c>
      <c r="I987" s="2" t="s">
        <v>43</v>
      </c>
      <c r="J987" s="2">
        <v>2.0</v>
      </c>
      <c r="K987" s="4">
        <v>17345.15</v>
      </c>
      <c r="L987" s="5">
        <v>34690.3</v>
      </c>
      <c r="N987" s="2" t="str">
        <f>IF(Table1[Quantity] &gt; 2, "Bulk Order", "Standard Order")</f>
        <v>Standard Order</v>
      </c>
    </row>
    <row r="988" ht="15.75" customHeight="1">
      <c r="A988" s="2" t="s">
        <v>2389</v>
      </c>
      <c r="B988" s="3">
        <v>45820.0</v>
      </c>
      <c r="C988" s="2" t="s">
        <v>2390</v>
      </c>
      <c r="D988" s="2" t="s">
        <v>356</v>
      </c>
      <c r="E988" s="2">
        <v>36.0</v>
      </c>
      <c r="F988" s="2" t="s">
        <v>37</v>
      </c>
      <c r="G988" s="2" t="s">
        <v>2194</v>
      </c>
      <c r="H988" s="2" t="s">
        <v>42</v>
      </c>
      <c r="I988" s="2" t="s">
        <v>41</v>
      </c>
      <c r="J988" s="2">
        <v>9.0</v>
      </c>
      <c r="K988" s="4">
        <v>44322.64</v>
      </c>
      <c r="L988" s="5">
        <v>398903.76</v>
      </c>
      <c r="N988" s="2" t="str">
        <f>IF(Table1[Quantity] &gt; 2, "Bulk Order", "Standard Order")</f>
        <v>Bulk Order</v>
      </c>
    </row>
    <row r="989" ht="15.75" customHeight="1">
      <c r="A989" s="2" t="s">
        <v>2391</v>
      </c>
      <c r="B989" s="3">
        <v>45746.0</v>
      </c>
      <c r="C989" s="2" t="s">
        <v>2392</v>
      </c>
      <c r="D989" s="2" t="s">
        <v>621</v>
      </c>
      <c r="E989" s="2">
        <v>58.0</v>
      </c>
      <c r="F989" s="2" t="s">
        <v>37</v>
      </c>
      <c r="H989" s="2" t="s">
        <v>56</v>
      </c>
      <c r="I989" s="2" t="s">
        <v>43</v>
      </c>
      <c r="J989" s="2">
        <v>4.0</v>
      </c>
      <c r="K989" s="4">
        <v>21599.26</v>
      </c>
      <c r="L989" s="5">
        <v>86397.04</v>
      </c>
      <c r="N989" s="2" t="str">
        <f>IF(Table1[Quantity] &gt; 2, "Bulk Order", "Standard Order")</f>
        <v>Bulk Order</v>
      </c>
    </row>
    <row r="990" ht="15.75" customHeight="1">
      <c r="A990" s="2" t="s">
        <v>2393</v>
      </c>
      <c r="B990" s="3">
        <v>45748.0</v>
      </c>
      <c r="C990" s="2" t="s">
        <v>2394</v>
      </c>
      <c r="D990" s="2" t="s">
        <v>172</v>
      </c>
      <c r="F990" s="2" t="s">
        <v>29</v>
      </c>
      <c r="H990" s="2" t="s">
        <v>74</v>
      </c>
      <c r="I990" s="2" t="s">
        <v>45</v>
      </c>
      <c r="J990" s="2">
        <v>4.0</v>
      </c>
      <c r="K990" s="4">
        <v>1973.64</v>
      </c>
      <c r="L990" s="5">
        <v>7894.56</v>
      </c>
      <c r="N990" s="2" t="str">
        <f>IF(Table1[Quantity] &gt; 2, "Bulk Order", "Standard Order")</f>
        <v>Bulk Order</v>
      </c>
    </row>
    <row r="991" ht="15.75" customHeight="1">
      <c r="A991" s="2" t="s">
        <v>2395</v>
      </c>
      <c r="B991" s="3">
        <v>45998.0</v>
      </c>
      <c r="C991" s="2" t="s">
        <v>2396</v>
      </c>
      <c r="D991" s="2" t="s">
        <v>738</v>
      </c>
      <c r="E991" s="2">
        <v>37.0</v>
      </c>
      <c r="F991" s="2" t="s">
        <v>29</v>
      </c>
      <c r="H991" s="2" t="s">
        <v>31</v>
      </c>
      <c r="I991" s="2" t="s">
        <v>32</v>
      </c>
      <c r="J991" s="2">
        <v>1.0</v>
      </c>
      <c r="K991" s="4">
        <v>25336.7</v>
      </c>
      <c r="L991" s="5">
        <v>25336.7</v>
      </c>
      <c r="N991" s="2" t="str">
        <f>IF(Table1[Quantity] &gt; 2, "Bulk Order", "Standard Order")</f>
        <v>Standard Order</v>
      </c>
    </row>
    <row r="992" ht="15.75" customHeight="1">
      <c r="A992" s="2" t="s">
        <v>2397</v>
      </c>
      <c r="B992" s="3">
        <v>45839.0</v>
      </c>
      <c r="C992" s="2" t="s">
        <v>2398</v>
      </c>
      <c r="D992" s="2" t="s">
        <v>2399</v>
      </c>
      <c r="F992" s="2" t="s">
        <v>37</v>
      </c>
      <c r="H992" s="2" t="s">
        <v>74</v>
      </c>
      <c r="I992" s="2" t="s">
        <v>45</v>
      </c>
      <c r="J992" s="2">
        <v>6.0</v>
      </c>
      <c r="K992" s="4">
        <v>28595.31</v>
      </c>
      <c r="L992" s="5">
        <v>171571.86</v>
      </c>
      <c r="N992" s="2" t="str">
        <f>IF(Table1[Quantity] &gt; 2, "Bulk Order", "Standard Order")</f>
        <v>Bulk Order</v>
      </c>
    </row>
    <row r="993" ht="15.75" customHeight="1">
      <c r="A993" s="2" t="s">
        <v>2400</v>
      </c>
      <c r="B993" s="3">
        <v>45783.0</v>
      </c>
      <c r="C993" s="2" t="s">
        <v>2401</v>
      </c>
      <c r="D993" s="2" t="s">
        <v>661</v>
      </c>
      <c r="E993" s="2">
        <v>20.0</v>
      </c>
      <c r="F993" s="2" t="s">
        <v>37</v>
      </c>
      <c r="H993" s="2" t="s">
        <v>60</v>
      </c>
      <c r="I993" s="2" t="s">
        <v>43</v>
      </c>
      <c r="J993" s="2">
        <v>2.0</v>
      </c>
      <c r="K993" s="4">
        <v>28311.58</v>
      </c>
      <c r="L993" s="5">
        <v>56623.16</v>
      </c>
      <c r="N993" s="2" t="str">
        <f>IF(Table1[Quantity] &gt; 2, "Bulk Order", "Standard Order")</f>
        <v>Standard Order</v>
      </c>
    </row>
    <row r="994" ht="15.75" customHeight="1">
      <c r="A994" s="2" t="s">
        <v>2402</v>
      </c>
      <c r="B994" s="3">
        <v>45701.0</v>
      </c>
      <c r="C994" s="2" t="s">
        <v>2403</v>
      </c>
      <c r="D994" s="2" t="s">
        <v>621</v>
      </c>
      <c r="F994" s="2" t="s">
        <v>29</v>
      </c>
      <c r="H994" s="2" t="s">
        <v>42</v>
      </c>
      <c r="I994" s="2" t="s">
        <v>41</v>
      </c>
      <c r="J994" s="2">
        <v>10.0</v>
      </c>
      <c r="K994" s="4">
        <v>43946.96</v>
      </c>
      <c r="L994" s="5">
        <v>439469.6</v>
      </c>
      <c r="N994" s="2" t="str">
        <f>IF(Table1[Quantity] &gt; 2, "Bulk Order", "Standard Order")</f>
        <v>Bulk Order</v>
      </c>
    </row>
    <row r="995" ht="15.75" customHeight="1">
      <c r="A995" s="2" t="s">
        <v>2404</v>
      </c>
      <c r="B995" s="3">
        <v>46022.0</v>
      </c>
      <c r="C995" s="2" t="s">
        <v>2405</v>
      </c>
      <c r="D995" s="2" t="s">
        <v>937</v>
      </c>
      <c r="E995" s="2">
        <v>45.0</v>
      </c>
      <c r="F995" s="2" t="s">
        <v>29</v>
      </c>
      <c r="H995" s="2" t="s">
        <v>64</v>
      </c>
      <c r="I995" s="2" t="s">
        <v>44</v>
      </c>
      <c r="J995" s="2">
        <v>7.0</v>
      </c>
      <c r="K995" s="4">
        <v>751.97</v>
      </c>
      <c r="L995" s="5">
        <v>5263.79</v>
      </c>
      <c r="N995" s="2" t="str">
        <f>IF(Table1[Quantity] &gt; 2, "Bulk Order", "Standard Order")</f>
        <v>Bulk Order</v>
      </c>
    </row>
    <row r="996" ht="15.75" customHeight="1">
      <c r="A996" s="2" t="s">
        <v>137</v>
      </c>
      <c r="B996" s="3">
        <v>45709.0</v>
      </c>
      <c r="C996" s="2" t="s">
        <v>2406</v>
      </c>
      <c r="D996" s="2" t="s">
        <v>73</v>
      </c>
      <c r="F996" s="2" t="s">
        <v>37</v>
      </c>
      <c r="H996" s="2" t="s">
        <v>60</v>
      </c>
      <c r="I996" s="2" t="s">
        <v>43</v>
      </c>
      <c r="J996" s="2">
        <v>7.0</v>
      </c>
      <c r="K996" s="4">
        <v>20144.84</v>
      </c>
      <c r="L996" s="5">
        <v>141013.88</v>
      </c>
      <c r="N996" s="2" t="str">
        <f>IF(Table1[Quantity] &gt; 2, "Bulk Order", "Standard Order")</f>
        <v>Bulk Order</v>
      </c>
    </row>
    <row r="997" ht="15.75" customHeight="1">
      <c r="A997" s="2" t="s">
        <v>2407</v>
      </c>
      <c r="B997" s="3">
        <v>45981.0</v>
      </c>
      <c r="C997" s="2" t="s">
        <v>2408</v>
      </c>
      <c r="D997" s="2" t="s">
        <v>2261</v>
      </c>
      <c r="E997" s="2">
        <v>47.0</v>
      </c>
      <c r="F997" s="2" t="s">
        <v>37</v>
      </c>
      <c r="H997" s="2" t="s">
        <v>60</v>
      </c>
      <c r="I997" s="2" t="s">
        <v>43</v>
      </c>
      <c r="J997" s="2">
        <v>1.0</v>
      </c>
      <c r="K997" s="4">
        <v>14756.18</v>
      </c>
      <c r="L997" s="5">
        <v>14756.18</v>
      </c>
      <c r="N997" s="2" t="str">
        <f>IF(Table1[Quantity] &gt; 2, "Bulk Order", "Standard Order")</f>
        <v>Standard Order</v>
      </c>
    </row>
    <row r="998" ht="15.75" customHeight="1">
      <c r="A998" s="2" t="s">
        <v>2409</v>
      </c>
      <c r="B998" s="3">
        <v>45856.0</v>
      </c>
      <c r="C998" s="2" t="s">
        <v>1012</v>
      </c>
      <c r="D998" s="2" t="s">
        <v>1084</v>
      </c>
      <c r="F998" s="2" t="s">
        <v>29</v>
      </c>
      <c r="H998" s="2" t="s">
        <v>74</v>
      </c>
      <c r="I998" s="2" t="s">
        <v>45</v>
      </c>
      <c r="J998" s="2">
        <v>10.0</v>
      </c>
      <c r="K998" s="4">
        <v>43808.06</v>
      </c>
      <c r="L998" s="5">
        <v>438080.6</v>
      </c>
      <c r="N998" s="2" t="str">
        <f>IF(Table1[Quantity] &gt; 2, "Bulk Order", "Standard Order")</f>
        <v>Bulk Order</v>
      </c>
    </row>
    <row r="999" ht="15.75" customHeight="1">
      <c r="A999" s="2" t="s">
        <v>2410</v>
      </c>
      <c r="B999" s="3">
        <v>45851.0</v>
      </c>
      <c r="C999" s="2" t="s">
        <v>2411</v>
      </c>
      <c r="D999" s="2" t="s">
        <v>416</v>
      </c>
      <c r="E999" s="2">
        <v>57.0</v>
      </c>
      <c r="F999" s="2" t="s">
        <v>29</v>
      </c>
      <c r="H999" s="2" t="s">
        <v>60</v>
      </c>
      <c r="I999" s="2" t="s">
        <v>43</v>
      </c>
      <c r="J999" s="2">
        <v>2.0</v>
      </c>
      <c r="K999" s="4">
        <v>45863.13</v>
      </c>
      <c r="L999" s="5">
        <v>91726.26</v>
      </c>
      <c r="N999" s="2" t="str">
        <f>IF(Table1[Quantity] &gt; 2, "Bulk Order", "Standard Order")</f>
        <v>Standard Order</v>
      </c>
    </row>
    <row r="1000" ht="15.75" customHeight="1">
      <c r="A1000" s="2" t="s">
        <v>2412</v>
      </c>
      <c r="B1000" s="3">
        <v>45774.0</v>
      </c>
      <c r="C1000" s="2" t="s">
        <v>2413</v>
      </c>
      <c r="D1000" s="2" t="s">
        <v>2414</v>
      </c>
      <c r="F1000" s="2" t="s">
        <v>29</v>
      </c>
      <c r="H1000" s="2" t="s">
        <v>60</v>
      </c>
      <c r="I1000" s="2" t="s">
        <v>43</v>
      </c>
      <c r="J1000" s="2">
        <v>5.0</v>
      </c>
      <c r="K1000" s="4">
        <v>5069.79</v>
      </c>
      <c r="L1000" s="5">
        <v>25348.95</v>
      </c>
      <c r="N1000" s="2" t="str">
        <f>IF(Table1[Quantity] &gt; 2, "Bulk Order", "Standard Order")</f>
        <v>Bulk Order</v>
      </c>
    </row>
    <row r="1001" ht="15.75" customHeight="1">
      <c r="A1001" s="2" t="s">
        <v>2415</v>
      </c>
      <c r="B1001" s="3">
        <v>45945.0</v>
      </c>
      <c r="C1001" s="2" t="s">
        <v>1954</v>
      </c>
      <c r="D1001" s="2" t="s">
        <v>2206</v>
      </c>
      <c r="E1001" s="2">
        <v>25.0</v>
      </c>
      <c r="F1001" s="2" t="s">
        <v>29</v>
      </c>
      <c r="H1001" s="2" t="s">
        <v>42</v>
      </c>
      <c r="I1001" s="2" t="s">
        <v>41</v>
      </c>
      <c r="J1001" s="2">
        <v>6.0</v>
      </c>
      <c r="K1001" s="4">
        <v>6189.16</v>
      </c>
      <c r="L1001" s="5">
        <v>37134.96</v>
      </c>
      <c r="N1001" s="2" t="str">
        <f>IF(Table1[Quantity] &gt; 2, "Bulk Order", "Standard Order")</f>
        <v>Bulk Order</v>
      </c>
    </row>
  </sheetData>
  <customSheetViews>
    <customSheetView guid="{9702C7D7-C232-4E70-8027-58C55CD70145}" filter="1" showAutoFilter="1">
      <autoFilter ref="$A$1:$Z$1001">
        <sortState ref="A1:Z1001">
          <sortCondition descending="1" ref="L1:L1001"/>
        </sortState>
      </autoFilter>
      <extLst>
        <ext uri="GoogleSheetsCustomDataVersion1">
          <go:sheetsCustomData xmlns:go="http://customooxmlschemas.google.com/" filterViewId="1777147301"/>
        </ext>
      </extLst>
    </customSheetView>
  </customSheetViews>
  <conditionalFormatting sqref="L1:L1001">
    <cfRule type="colorScale" priority="1">
      <colorScale>
        <cfvo type="min"/>
        <cfvo type="max"/>
        <color rgb="FFFFFFFF"/>
        <color rgb="FF57BB8A"/>
      </colorScale>
    </cfRule>
  </conditionalFormatting>
  <conditionalFormatting sqref="J1:J1001">
    <cfRule type="colorScale" priority="2">
      <colorScale>
        <cfvo type="min"/>
        <cfvo type="max"/>
        <color rgb="FF57BB8A"/>
        <color rgb="FFFFFFFF"/>
      </colorScale>
    </cfRule>
  </conditionalFormatting>
  <conditionalFormatting sqref="B1:B1001">
    <cfRule type="expression" dxfId="5" priority="3">
      <formula>B1&gt;46022.0</formula>
    </cfRule>
  </conditionalFormatting>
  <dataValidations>
    <dataValidation type="custom" allowBlank="1" showDropDown="1" sqref="B2:B1001">
      <formula1>OR(NOT(ISERROR(DATEVALUE(B2))), AND(ISNUMBER(B2), LEFT(CELL("format", B2))="D"))</formula1>
    </dataValidation>
    <dataValidation type="custom" allowBlank="1" showDropDown="1" sqref="K2:L1001">
      <formula1>AND(ISNUMBER(K2),(NOT(OR(NOT(ISERROR(DATEVALUE(K2))), AND(ISNUMBER(K2), LEFT(CELL("format", K2))="D")))))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</sheetData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2026-06-06T07:04:51Z</dcterms:created>
  <dc:creator>openpyxl</dc:creator>
</cp:coreProperties>
</file>